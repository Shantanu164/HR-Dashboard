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a5485caae7f65a3/ドキュメント/Excel/Dashboard/"/>
    </mc:Choice>
  </mc:AlternateContent>
  <xr:revisionPtr revIDLastSave="18" documentId="8_{27841D62-8965-413A-B9AB-085DE280EB5E}" xr6:coauthVersionLast="47" xr6:coauthVersionMax="47" xr10:uidLastSave="{84C5AEA2-F9C6-4E58-B7BE-776EBD8A531B}"/>
  <bookViews>
    <workbookView xWindow="-108" yWindow="-108" windowWidth="23256" windowHeight="12456" tabRatio="606" activeTab="1" xr2:uid="{408BA6AB-5196-496B-9C80-B057CC378CDA}"/>
  </bookViews>
  <sheets>
    <sheet name="Pivot Table" sheetId="3" r:id="rId1"/>
    <sheet name="Dashboard" sheetId="2" r:id="rId2"/>
    <sheet name="Data" sheetId="1" r:id="rId3"/>
  </sheets>
  <definedNames>
    <definedName name="Slicer_Department">#N/A</definedName>
    <definedName name="Slicer_Gender">#N/A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3" l="1"/>
  <c r="X14" i="3"/>
  <c r="C12" i="3"/>
  <c r="U14" i="3"/>
  <c r="R17" i="3"/>
  <c r="U17" i="3"/>
  <c r="U15" i="3"/>
  <c r="C13" i="3"/>
  <c r="F18" i="3"/>
  <c r="J19" i="3"/>
  <c r="J17" i="3"/>
  <c r="F16" i="3"/>
  <c r="O14" i="3"/>
  <c r="R14" i="3"/>
  <c r="G16" i="3"/>
  <c r="R15" i="3"/>
  <c r="J23" i="3"/>
  <c r="G17" i="3"/>
  <c r="O13" i="3"/>
  <c r="G15" i="3"/>
  <c r="X15" i="3"/>
  <c r="C14" i="3"/>
  <c r="J16" i="3"/>
  <c r="F14" i="3"/>
  <c r="O12" i="3"/>
  <c r="X17" i="3"/>
  <c r="F17" i="3"/>
  <c r="U16" i="3"/>
  <c r="J24" i="3"/>
  <c r="G18" i="3"/>
  <c r="R18" i="3"/>
  <c r="F15" i="3"/>
  <c r="X18" i="3"/>
  <c r="J15" i="3"/>
  <c r="X16" i="3"/>
  <c r="U18" i="3"/>
  <c r="R16" i="3"/>
  <c r="G14" i="3"/>
  <c r="G19" i="3" l="1"/>
  <c r="J20" i="3"/>
  <c r="K24" i="3"/>
  <c r="L24" i="3" s="1"/>
  <c r="O15" i="3"/>
  <c r="N17" i="3"/>
  <c r="O17" i="3" s="1"/>
  <c r="F19" i="3"/>
  <c r="N18" i="3"/>
  <c r="O18" i="3" s="1"/>
  <c r="K23" i="3"/>
  <c r="L23" i="3" s="1"/>
  <c r="J25" i="3"/>
  <c r="R19" i="3"/>
  <c r="N19" i="3"/>
  <c r="O19" i="3" s="1"/>
  <c r="U19" i="3"/>
  <c r="C15" i="3"/>
  <c r="X19" i="3"/>
</calcChain>
</file>

<file path=xl/sharedStrings.xml><?xml version="1.0" encoding="utf-8"?>
<sst xmlns="http://schemas.openxmlformats.org/spreadsheetml/2006/main" count="877" uniqueCount="227">
  <si>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</si>
  <si>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</si>
  <si>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</si>
  <si>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</si>
  <si>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</si>
  <si>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</si>
  <si>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</si>
  <si>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</si>
  <si>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</si>
  <si>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</si>
  <si>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</si>
  <si>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</si>
  <si>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</si>
  <si>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</si>
  <si>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</si>
  <si>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</si>
  <si>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</si>
  <si>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</si>
  <si>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</si>
  <si>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</si>
  <si>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</si>
  <si>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</si>
  <si>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</si>
  <si>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</si>
  <si>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</si>
  <si>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</si>
  <si>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</si>
  <si>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</si>
  <si>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</si>
  <si>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</si>
  <si>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</si>
  <si>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</si>
  <si>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</si>
  <si>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</si>
  <si>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</si>
  <si>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</si>
  <si>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</si>
  <si>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</si>
  <si>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</si>
  <si>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</si>
  <si>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</si>
  <si>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</si>
  <si>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</si>
  <si>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</si>
  <si>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</si>
  <si>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</si>
  <si>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</si>
  <si>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</si>
  <si>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</si>
  <si>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</si>
  <si>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</si>
  <si>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</si>
  <si>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</si>
  <si>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</si>
  <si>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</si>
  <si>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</si>
  <si>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</si>
  <si>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</si>
  <si>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</si>
  <si>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</si>
  <si>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</si>
  <si>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</si>
  <si>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</si>
  <si>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</si>
  <si>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</si>
  <si>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</si>
  <si>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</si>
  <si>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</si>
  <si>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</si>
  <si>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</si>
  <si>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</si>
  <si>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</si>
  <si>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</si>
  <si>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</si>
  <si>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</si>
  <si>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</si>
  <si>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</si>
  <si>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</si>
  <si>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</si>
  <si>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</si>
  <si>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</si>
  <si>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</si>
  <si>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</si>
  <si>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</si>
  <si>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</si>
  <si>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</si>
  <si>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</si>
  <si>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</si>
  <si>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</si>
  <si>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</si>
  <si>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</si>
  <si>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</si>
  <si>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</si>
  <si>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</si>
  <si>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</si>
  <si>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</si>
  <si>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</si>
  <si>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</si>
  <si>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</si>
  <si>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</si>
  <si>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</si>
  <si>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</si>
  <si>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</si>
  <si>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</si>
  <si>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</si>
  <si>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</si>
  <si>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</si>
  <si>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</si>
  <si>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</si>
  <si>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</si>
  <si>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</si>
  <si>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</si>
  <si>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</si>
  <si>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</si>
  <si>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</si>
  <si>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</si>
  <si>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</si>
  <si>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</si>
  <si>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</si>
  <si>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</si>
  <si>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</si>
  <si>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</si>
  <si>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</si>
  <si>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</si>
  <si>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</si>
  <si>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</si>
  <si>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</si>
  <si>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</si>
  <si>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</si>
  <si>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</si>
  <si>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</si>
  <si>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</si>
  <si>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</si>
  <si>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</si>
  <si>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</si>
  <si>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</si>
  <si>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</si>
  <si>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</si>
  <si>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</si>
  <si>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</si>
  <si>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</si>
  <si>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</si>
  <si>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</si>
  <si>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</si>
  <si>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</si>
  <si>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</si>
  <si>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</si>
  <si>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</si>
  <si>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</si>
  <si>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</si>
  <si>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</si>
  <si>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</si>
  <si>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</si>
  <si>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</si>
  <si>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</si>
  <si>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</si>
  <si>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</si>
  <si>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</si>
  <si>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</si>
  <si>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</si>
  <si>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</si>
  <si>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</si>
  <si>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</si>
  <si>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</si>
  <si>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</si>
  <si>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</si>
  <si>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</si>
  <si>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</si>
  <si>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</si>
  <si>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</si>
  <si>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</si>
  <si>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</si>
  <si>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</si>
  <si>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</si>
  <si>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</si>
  <si>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</si>
  <si>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</si>
  <si>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</si>
  <si>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</si>
  <si>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</si>
  <si>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</si>
  <si>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</si>
  <si>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</si>
  <si>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</si>
  <si>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</si>
  <si>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</si>
  <si>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</si>
  <si>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</si>
  <si>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</si>
  <si>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</si>
  <si>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</si>
  <si>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</si>
  <si>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</si>
  <si>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</si>
  <si>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</si>
  <si>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</si>
  <si>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</si>
  <si>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</si>
  <si>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</si>
  <si>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</si>
  <si>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</si>
  <si>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</si>
  <si>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</si>
  <si>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</si>
  <si>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</si>
  <si>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</si>
  <si>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</si>
  <si>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</si>
  <si>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</si>
  <si>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</si>
  <si>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</si>
  <si>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</si>
  <si>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</si>
  <si>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</si>
  <si>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</si>
  <si>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</si>
  <si>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</si>
  <si>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Name of Employee to Employment Status</t>
  </si>
  <si>
    <t>Total</t>
  </si>
  <si>
    <t>Sum of Salary</t>
  </si>
  <si>
    <t>Salseies to Department</t>
  </si>
  <si>
    <t>Column Labels</t>
  </si>
  <si>
    <t>Age Range to Gender</t>
  </si>
  <si>
    <t>Workplace</t>
  </si>
  <si>
    <t xml:space="preserve"> </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</si>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</sst>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8">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sz val="11"/>
      <color theme="0"/>
      <name val="Aptos Narrow"/>
      <family val="2"/>
      <scheme val="minor"/>
    </font>
    <font>
      <b/>
      <sz val="11"/>
      <color theme="0" tint="-4.9989318521683403E-2"/>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0" borderId="0" xfId="0" applyFont="1"/>
    <xf numFmtId="0" fontId="2" fillId="2" borderId="0" xfId="0" applyFont="1" applyFill="1"/>
    <xf numFmtId="0" fontId="0" fillId="0" borderId="0" xfId="0" pivotButton="1"/>
    <xf numFmtId="0" fontId="0" fillId="0" borderId="0" xfId="0" applyAlignment="1">
      <alignment horizontal="left"/>
    </xf>
    <xf numFmtId="0" fontId="6" fillId="0" borderId="0" xfId="0" applyFont="1"/>
    <xf numFmtId="0" fontId="2" fillId="0" borderId="0" xfId="0" pivotButton="1" applyFont="1"/>
    <xf numFmtId="0" fontId="2" fillId="0" borderId="0" xfId="0" applyFont="1" applyAlignment="1">
      <alignment horizontal="left"/>
    </xf>
    <xf numFmtId="164" fontId="2" fillId="0" borderId="0" xfId="0" applyNumberFormat="1" applyFont="1"/>
    <xf numFmtId="164" fontId="2" fillId="0" borderId="0" xfId="1" applyNumberFormat="1" applyFont="1"/>
    <xf numFmtId="9" fontId="5" fillId="0" borderId="0" xfId="2" applyFont="1"/>
    <xf numFmtId="9" fontId="0" fillId="0" borderId="0" xfId="2" applyFont="1"/>
    <xf numFmtId="9" fontId="0" fillId="0" borderId="0" xfId="0" applyNumberFormat="1"/>
    <xf numFmtId="164" fontId="0" fillId="0" borderId="0" xfId="0" applyNumberFormat="1"/>
    <xf numFmtId="165" fontId="0" fillId="0" borderId="0" xfId="0" applyNumberFormat="1"/>
    <xf numFmtId="165" fontId="5" fillId="0" borderId="0" xfId="0" applyNumberFormat="1" applyFont="1"/>
    <xf numFmtId="0" fontId="7" fillId="3" borderId="0" xfId="0" applyFont="1" applyFill="1" applyAlignment="1">
      <alignment horizontal="center"/>
    </xf>
    <xf numFmtId="0" fontId="1" fillId="3" borderId="0" xfId="0" applyFont="1" applyFill="1" applyAlignment="1">
      <alignment horizontal="center"/>
    </xf>
  </cellXfs>
  <cellStyles count="3">
    <cellStyle name="Comma" xfId="1" builtinId="3"/>
    <cellStyle name="Normal" xfId="0" builtinId="0"/>
    <cellStyle name="Percent" xfId="2" builtinId="5"/>
  </cellStyles>
  <dxfs count="34">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numFmt numFmtId="165" formatCode="0.0"/>
    </dxf>
    <dxf>
      <numFmt numFmtId="164" formatCode="_ * #,##0_ ;_ * \-#,##0_ ;_ * &quot;-&quot;??_ ;_ @_ "/>
    </dxf>
    <dxf>
      <font>
        <name val="Kulim Park"/>
        <scheme val="none"/>
      </font>
    </dxf>
    <dxf>
      <font>
        <name val="Kulim Park"/>
        <scheme val="none"/>
      </font>
    </dxf>
    <dxf>
      <font>
        <name val="Kulim Park"/>
        <scheme val="none"/>
      </font>
    </dxf>
    <dxf>
      <font>
        <name val="Kulim Park"/>
        <scheme val="none"/>
      </font>
    </dxf>
    <dxf>
      <font>
        <name val="Kulim Park"/>
        <scheme val="none"/>
      </font>
    </dxf>
    <dxf>
      <font>
        <name val="Kulim Park"/>
        <scheme val="none"/>
      </font>
    </dxf>
    <dxf>
      <fill>
        <patternFill>
          <fgColor rgb="FFE5B344"/>
          <bgColor rgb="FFE5B344"/>
        </patternFill>
      </fill>
    </dxf>
    <dxf>
      <fill>
        <patternFill>
          <fgColor rgb="FFE5B344"/>
        </patternFill>
      </fill>
    </dxf>
    <dxf>
      <font>
        <color rgb="FF1F1F1F"/>
      </font>
      <fill>
        <patternFill>
          <bgColor rgb="FF1F1F1F"/>
        </patternFill>
      </fill>
    </dxf>
  </dxfs>
  <tableStyles count="4" defaultTableStyle="TableStyleMedium2" defaultPivotStyle="PivotStyleLight16">
    <tableStyle name="Slicer Style 1" pivot="0" table="0" count="7" xr9:uid="{07AFA97A-46A6-4A69-A16E-93F456B70A52}">
      <tableStyleElement type="wholeTable" dxfId="33"/>
    </tableStyle>
    <tableStyle name="Slicer Style 2" pivot="0" table="0" count="1" xr9:uid="{6D16B6BC-CA94-4E1D-A204-C8A887DC5E7B}">
      <tableStyleElement type="wholeTable" dxfId="32"/>
    </tableStyle>
    <tableStyle name="Slicer Style 3" pivot="0" table="0" count="1" xr9:uid="{04683A6B-1563-4843-A65B-7AC79E0D0DEB}">
      <tableStyleElement type="wholeTable" dxfId="31"/>
    </tableStyle>
    <tableStyle name="Slicer Style 4" pivot="0" table="0" count="1" xr9:uid="{A3380439-967F-4650-9C6B-35B64342CF4D}"/>
  </tableStyles>
  <colors>
    <mruColors>
      <color rgb="FF282828"/>
      <color rgb="FFE5B344"/>
      <color rgb="FF1F1F1F"/>
      <color rgb="FF948A54"/>
      <color rgb="FF77933C"/>
    </mruColors>
  </colors>
  <extLst>
    <ext xmlns:x14="http://schemas.microsoft.com/office/spreadsheetml/2009/9/main" uri="{46F421CA-312F-682f-3DD2-61675219B42D}">
      <x14:dxfs count="7">
        <dxf>
          <fill>
            <patternFill>
              <fgColor rgb="FFE5B344"/>
              <bgColor rgb="FFE5B344"/>
            </patternFill>
          </fill>
        </dxf>
        <dxf>
          <font>
            <color rgb="FFE5B344"/>
          </font>
          <fill>
            <patternFill>
              <fgColor rgb="FF282828"/>
              <bgColor rgb="FF282828"/>
            </patternFill>
          </fill>
        </dxf>
        <dxf>
          <font>
            <color rgb="FFE5B344"/>
          </font>
          <fill>
            <patternFill>
              <fgColor rgb="FF282828"/>
              <bgColor rgb="FF282828"/>
            </patternFill>
          </fill>
        </dxf>
        <dxf>
          <font>
            <color rgb="FFE5B344"/>
          </font>
          <fill>
            <patternFill>
              <fgColor rgb="FFE5B344"/>
              <bgColor rgb="FFE5B344"/>
            </patternFill>
          </fill>
        </dxf>
        <dxf>
          <font>
            <color rgb="FF282828"/>
          </font>
          <fill>
            <patternFill>
              <fgColor rgb="FFE5B344"/>
              <bgColor rgb="FFE5B344"/>
            </patternFill>
          </fill>
        </dxf>
        <dxf>
          <font>
            <color rgb="FF282828"/>
          </font>
          <fill>
            <patternFill>
              <fgColor rgb="FFE5B344"/>
              <bgColor rgb="FFE5B344"/>
            </patternFill>
          </fill>
        </dxf>
        <dxf>
          <font>
            <color rgb="FFE5B344"/>
          </font>
          <fill>
            <patternFill>
              <fgColor rgb="FF282828"/>
              <bgColor rgb="FF28282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s>
        </x14:slicerStyle>
        <x14:slicerStyle name="Slicer Style 2"/>
        <x14:slicerStyle name="Slicer Style 3"/>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pieChart>
        <c:varyColors val="1"/>
        <c:ser>
          <c:idx val="0"/>
          <c:order val="0"/>
          <c:dPt>
            <c:idx val="0"/>
            <c:bubble3D val="0"/>
            <c:spPr>
              <a:solidFill>
                <a:srgbClr val="E5B344"/>
              </a:solidFill>
              <a:ln w="19050">
                <a:solidFill>
                  <a:srgbClr val="1F1F1F"/>
                </a:solidFill>
              </a:ln>
              <a:effectLst/>
            </c:spPr>
            <c:extLst>
              <c:ext xmlns:c16="http://schemas.microsoft.com/office/drawing/2014/chart" uri="{C3380CC4-5D6E-409C-BE32-E72D297353CC}">
                <c16:uniqueId val="{00000001-C102-4283-8D69-EEA6C13E82DC}"/>
              </c:ext>
            </c:extLst>
          </c:dPt>
          <c:dPt>
            <c:idx val="1"/>
            <c:bubble3D val="0"/>
            <c:spPr>
              <a:solidFill>
                <a:schemeClr val="tx1">
                  <a:lumMod val="75000"/>
                  <a:lumOff val="25000"/>
                </a:schemeClr>
              </a:solidFill>
              <a:ln w="19050">
                <a:solidFill>
                  <a:srgbClr val="1F1F1F"/>
                </a:solidFill>
              </a:ln>
              <a:effectLst/>
            </c:spPr>
            <c:extLst>
              <c:ext xmlns:c16="http://schemas.microsoft.com/office/drawing/2014/chart" uri="{C3380CC4-5D6E-409C-BE32-E72D297353CC}">
                <c16:uniqueId val="{00000003-C102-4283-8D69-EEA6C13E82DC}"/>
              </c:ext>
            </c:extLst>
          </c:dPt>
          <c:dPt>
            <c:idx val="2"/>
            <c:bubble3D val="0"/>
            <c:spPr>
              <a:solidFill>
                <a:schemeClr val="bg2">
                  <a:lumMod val="90000"/>
                </a:schemeClr>
              </a:solidFill>
              <a:ln w="19050">
                <a:solidFill>
                  <a:srgbClr val="1F1F1F"/>
                </a:solidFill>
              </a:ln>
              <a:effectLst/>
            </c:spPr>
            <c:extLst>
              <c:ext xmlns:c16="http://schemas.microsoft.com/office/drawing/2014/chart" uri="{C3380CC4-5D6E-409C-BE32-E72D297353CC}">
                <c16:uniqueId val="{00000005-C102-4283-8D69-EEA6C13E82DC}"/>
              </c:ext>
            </c:extLst>
          </c:dPt>
          <c:cat>
            <c:strRef>
              <c:f>'Pivot Table'!$B$12:$B$14</c:f>
              <c:strCache>
                <c:ptCount val="3"/>
                <c:pt idx="0">
                  <c:v>Contract</c:v>
                </c:pt>
                <c:pt idx="1">
                  <c:v>Full-Time</c:v>
                </c:pt>
                <c:pt idx="2">
                  <c:v>Part-Time</c:v>
                </c:pt>
              </c:strCache>
            </c:strRef>
          </c:cat>
          <c:val>
            <c:numRef>
              <c:f>'Pivot Table'!$C$12:$C$14</c:f>
              <c:numCache>
                <c:formatCode>General</c:formatCode>
                <c:ptCount val="3"/>
                <c:pt idx="0">
                  <c:v>17</c:v>
                </c:pt>
                <c:pt idx="1">
                  <c:v>20</c:v>
                </c:pt>
                <c:pt idx="2">
                  <c:v>13</c:v>
                </c:pt>
              </c:numCache>
            </c:numRef>
          </c:val>
          <c:extLst>
            <c:ext xmlns:c16="http://schemas.microsoft.com/office/drawing/2014/chart" uri="{C3380CC4-5D6E-409C-BE32-E72D297353CC}">
              <c16:uniqueId val="{00000006-C102-4283-8D69-EEA6C13E82D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Ready_HR dashboard.xlsx]Pivot Table!Age Range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3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3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09791954262782E-2"/>
          <c:y val="8.267979600521054E-2"/>
          <c:w val="0.87598041609147448"/>
          <c:h val="0.78113705137924927"/>
        </c:manualLayout>
      </c:layout>
      <c:barChart>
        <c:barDir val="col"/>
        <c:grouping val="clustered"/>
        <c:varyColors val="0"/>
        <c:ser>
          <c:idx val="0"/>
          <c:order val="0"/>
          <c:tx>
            <c:strRef>
              <c:f>'Pivot Table'!$J$5:$J$6</c:f>
              <c:strCache>
                <c:ptCount val="1"/>
                <c:pt idx="0">
                  <c:v>Female</c:v>
                </c:pt>
              </c:strCache>
            </c:strRef>
          </c:tx>
          <c:spPr>
            <a:solidFill>
              <a:srgbClr val="E5B3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B3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Table'!$I$7:$I$12</c:f>
              <c:strCache>
                <c:ptCount val="5"/>
                <c:pt idx="0">
                  <c:v>18-25</c:v>
                </c:pt>
                <c:pt idx="1">
                  <c:v>26-35</c:v>
                </c:pt>
                <c:pt idx="2">
                  <c:v>36-45</c:v>
                </c:pt>
                <c:pt idx="3">
                  <c:v>46-55</c:v>
                </c:pt>
                <c:pt idx="4">
                  <c:v>56 &lt;</c:v>
                </c:pt>
              </c:strCache>
            </c:strRef>
          </c:cat>
          <c:val>
            <c:numRef>
              <c:f>'Pivot Table'!$J$7:$J$12</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EF02-4096-AEC7-2342F12D43C2}"/>
            </c:ext>
          </c:extLst>
        </c:ser>
        <c:ser>
          <c:idx val="1"/>
          <c:order val="1"/>
          <c:tx>
            <c:strRef>
              <c:f>'Pivot Table'!$K$5:$K$6</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Table'!$I$7:$I$12</c:f>
              <c:strCache>
                <c:ptCount val="5"/>
                <c:pt idx="0">
                  <c:v>18-25</c:v>
                </c:pt>
                <c:pt idx="1">
                  <c:v>26-35</c:v>
                </c:pt>
                <c:pt idx="2">
                  <c:v>36-45</c:v>
                </c:pt>
                <c:pt idx="3">
                  <c:v>46-55</c:v>
                </c:pt>
                <c:pt idx="4">
                  <c:v>56 &lt;</c:v>
                </c:pt>
              </c:strCache>
            </c:strRef>
          </c:cat>
          <c:val>
            <c:numRef>
              <c:f>'Pivot Table'!$K$7:$K$12</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477A-42BB-A697-B9F8D9355348}"/>
            </c:ext>
          </c:extLst>
        </c:ser>
        <c:dLbls>
          <c:dLblPos val="outEnd"/>
          <c:showLegendKey val="0"/>
          <c:showVal val="1"/>
          <c:showCatName val="0"/>
          <c:showSerName val="0"/>
          <c:showPercent val="0"/>
          <c:showBubbleSize val="0"/>
        </c:dLbls>
        <c:gapWidth val="219"/>
        <c:overlap val="-27"/>
        <c:axId val="1277049327"/>
        <c:axId val="1277057487"/>
      </c:barChart>
      <c:catAx>
        <c:axId val="127704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77057487"/>
        <c:crosses val="autoZero"/>
        <c:auto val="1"/>
        <c:lblAlgn val="ctr"/>
        <c:lblOffset val="100"/>
        <c:noMultiLvlLbl val="0"/>
      </c:catAx>
      <c:valAx>
        <c:axId val="1277057487"/>
        <c:scaling>
          <c:orientation val="minMax"/>
        </c:scaling>
        <c:delete val="1"/>
        <c:axPos val="l"/>
        <c:majorGridlines>
          <c:spPr>
            <a:ln w="9525" cap="flat" cmpd="sng" algn="ctr">
              <a:solidFill>
                <a:srgbClr val="E5B344">
                  <a:alpha val="35000"/>
                </a:srgbClr>
              </a:solidFill>
              <a:prstDash val="dash"/>
              <a:round/>
            </a:ln>
            <a:effectLst/>
          </c:spPr>
        </c:majorGridlines>
        <c:numFmt formatCode="General" sourceLinked="1"/>
        <c:majorTickMark val="none"/>
        <c:minorTickMark val="none"/>
        <c:tickLblPos val="nextTo"/>
        <c:crossAx val="12770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483987028078366E-2"/>
          <c:y val="0.19422713034628597"/>
          <c:w val="0.82439857375691994"/>
          <c:h val="0.52427923308304258"/>
        </c:manualLayout>
      </c:layout>
      <c:barChart>
        <c:barDir val="bar"/>
        <c:grouping val="percentStacked"/>
        <c:varyColors val="0"/>
        <c:ser>
          <c:idx val="0"/>
          <c:order val="0"/>
          <c:spPr>
            <a:solidFill>
              <a:srgbClr val="E5B344"/>
            </a:solidFill>
            <a:ln>
              <a:noFill/>
            </a:ln>
            <a:effectLst/>
          </c:spPr>
          <c:invertIfNegative val="0"/>
          <c:val>
            <c:numRef>
              <c:f>'Pivot Table'!$N$17</c:f>
              <c:numCache>
                <c:formatCode>0%</c:formatCode>
                <c:ptCount val="1"/>
                <c:pt idx="0">
                  <c:v>0.46</c:v>
                </c:pt>
              </c:numCache>
            </c:numRef>
          </c:val>
          <c:extLst>
            <c:ext xmlns:c16="http://schemas.microsoft.com/office/drawing/2014/chart" uri="{C3380CC4-5D6E-409C-BE32-E72D297353CC}">
              <c16:uniqueId val="{00000000-FEC1-4292-A1AD-2C6F92A29296}"/>
            </c:ext>
          </c:extLst>
        </c:ser>
        <c:ser>
          <c:idx val="1"/>
          <c:order val="1"/>
          <c:spPr>
            <a:solidFill>
              <a:srgbClr val="1F1F1F"/>
            </a:solidFill>
            <a:ln>
              <a:noFill/>
            </a:ln>
            <a:effectLst/>
          </c:spPr>
          <c:invertIfNegative val="0"/>
          <c:val>
            <c:numRef>
              <c:f>'Pivot Table'!$O$17</c:f>
              <c:numCache>
                <c:formatCode>0%</c:formatCode>
                <c:ptCount val="1"/>
                <c:pt idx="0">
                  <c:v>0.54</c:v>
                </c:pt>
              </c:numCache>
            </c:numRef>
          </c:val>
          <c:extLst>
            <c:ext xmlns:c16="http://schemas.microsoft.com/office/drawing/2014/chart" uri="{C3380CC4-5D6E-409C-BE32-E72D297353CC}">
              <c16:uniqueId val="{00000001-FEC1-4292-A1AD-2C6F92A29296}"/>
            </c:ext>
          </c:extLst>
        </c:ser>
        <c:dLbls>
          <c:showLegendKey val="0"/>
          <c:showVal val="0"/>
          <c:showCatName val="0"/>
          <c:showSerName val="0"/>
          <c:showPercent val="0"/>
          <c:showBubbleSize val="0"/>
        </c:dLbls>
        <c:gapWidth val="150"/>
        <c:overlap val="100"/>
        <c:axId val="1277129487"/>
        <c:axId val="1277129967"/>
      </c:barChart>
      <c:catAx>
        <c:axId val="1277129487"/>
        <c:scaling>
          <c:orientation val="minMax"/>
        </c:scaling>
        <c:delete val="1"/>
        <c:axPos val="l"/>
        <c:majorTickMark val="none"/>
        <c:minorTickMark val="none"/>
        <c:tickLblPos val="nextTo"/>
        <c:crossAx val="1277129967"/>
        <c:crosses val="autoZero"/>
        <c:auto val="1"/>
        <c:lblAlgn val="ctr"/>
        <c:lblOffset val="100"/>
        <c:noMultiLvlLbl val="0"/>
      </c:catAx>
      <c:valAx>
        <c:axId val="1277129967"/>
        <c:scaling>
          <c:orientation val="minMax"/>
        </c:scaling>
        <c:delete val="1"/>
        <c:axPos val="b"/>
        <c:numFmt formatCode="0%" sourceLinked="1"/>
        <c:majorTickMark val="none"/>
        <c:minorTickMark val="none"/>
        <c:tickLblPos val="nextTo"/>
        <c:crossAx val="127712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344"/>
            </a:solidFill>
            <a:ln>
              <a:noFill/>
            </a:ln>
            <a:effectLst/>
          </c:spPr>
          <c:invertIfNegative val="0"/>
          <c:val>
            <c:numRef>
              <c:f>'Pivot Table'!$N$18</c:f>
              <c:numCache>
                <c:formatCode>0%</c:formatCode>
                <c:ptCount val="1"/>
                <c:pt idx="0">
                  <c:v>0.16</c:v>
                </c:pt>
              </c:numCache>
            </c:numRef>
          </c:val>
          <c:extLst>
            <c:ext xmlns:c16="http://schemas.microsoft.com/office/drawing/2014/chart" uri="{C3380CC4-5D6E-409C-BE32-E72D297353CC}">
              <c16:uniqueId val="{00000000-C7BB-4C0F-B4C8-AFFEFF714767}"/>
            </c:ext>
          </c:extLst>
        </c:ser>
        <c:ser>
          <c:idx val="1"/>
          <c:order val="1"/>
          <c:spPr>
            <a:solidFill>
              <a:schemeClr val="accent2"/>
            </a:solidFill>
            <a:ln>
              <a:noFill/>
            </a:ln>
            <a:effectLst/>
          </c:spPr>
          <c:invertIfNegative val="0"/>
          <c:dPt>
            <c:idx val="0"/>
            <c:invertIfNegative val="0"/>
            <c:bubble3D val="0"/>
            <c:spPr>
              <a:solidFill>
                <a:srgbClr val="1F1F1F"/>
              </a:solidFill>
              <a:ln>
                <a:noFill/>
              </a:ln>
              <a:effectLst/>
            </c:spPr>
            <c:extLst>
              <c:ext xmlns:c16="http://schemas.microsoft.com/office/drawing/2014/chart" uri="{C3380CC4-5D6E-409C-BE32-E72D297353CC}">
                <c16:uniqueId val="{00000000-4556-48A6-81EA-601BA1423B84}"/>
              </c:ext>
            </c:extLst>
          </c:dPt>
          <c:val>
            <c:numRef>
              <c:f>'Pivot Table'!$O$18</c:f>
              <c:numCache>
                <c:formatCode>0%</c:formatCode>
                <c:ptCount val="1"/>
                <c:pt idx="0">
                  <c:v>0.84</c:v>
                </c:pt>
              </c:numCache>
            </c:numRef>
          </c:val>
          <c:extLst>
            <c:ext xmlns:c16="http://schemas.microsoft.com/office/drawing/2014/chart" uri="{C3380CC4-5D6E-409C-BE32-E72D297353CC}">
              <c16:uniqueId val="{00000001-C7BB-4C0F-B4C8-AFFEFF714767}"/>
            </c:ext>
          </c:extLst>
        </c:ser>
        <c:dLbls>
          <c:showLegendKey val="0"/>
          <c:showVal val="0"/>
          <c:showCatName val="0"/>
          <c:showSerName val="0"/>
          <c:showPercent val="0"/>
          <c:showBubbleSize val="0"/>
        </c:dLbls>
        <c:gapWidth val="150"/>
        <c:overlap val="100"/>
        <c:axId val="1277134767"/>
        <c:axId val="1277135247"/>
      </c:barChart>
      <c:catAx>
        <c:axId val="1277134767"/>
        <c:scaling>
          <c:orientation val="minMax"/>
        </c:scaling>
        <c:delete val="1"/>
        <c:axPos val="l"/>
        <c:majorTickMark val="none"/>
        <c:minorTickMark val="none"/>
        <c:tickLblPos val="nextTo"/>
        <c:crossAx val="1277135247"/>
        <c:crosses val="autoZero"/>
        <c:auto val="1"/>
        <c:lblAlgn val="ctr"/>
        <c:lblOffset val="100"/>
        <c:noMultiLvlLbl val="0"/>
      </c:catAx>
      <c:valAx>
        <c:axId val="1277135247"/>
        <c:scaling>
          <c:orientation val="minMax"/>
        </c:scaling>
        <c:delete val="1"/>
        <c:axPos val="b"/>
        <c:numFmt formatCode="0%" sourceLinked="1"/>
        <c:majorTickMark val="none"/>
        <c:minorTickMark val="none"/>
        <c:tickLblPos val="nextTo"/>
        <c:crossAx val="127713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0.23998323381272718"/>
          <c:w val="0.8059722222222222"/>
          <c:h val="0.47640021713586794"/>
        </c:manualLayout>
      </c:layout>
      <c:barChart>
        <c:barDir val="bar"/>
        <c:grouping val="percentStacked"/>
        <c:varyColors val="0"/>
        <c:ser>
          <c:idx val="0"/>
          <c:order val="0"/>
          <c:spPr>
            <a:solidFill>
              <a:srgbClr val="E5B344"/>
            </a:solidFill>
            <a:ln>
              <a:noFill/>
            </a:ln>
            <a:effectLst/>
          </c:spPr>
          <c:invertIfNegative val="0"/>
          <c:val>
            <c:numRef>
              <c:f>'Pivot Table'!$N$19</c:f>
              <c:numCache>
                <c:formatCode>0%</c:formatCode>
                <c:ptCount val="1"/>
                <c:pt idx="0">
                  <c:v>0.38</c:v>
                </c:pt>
              </c:numCache>
            </c:numRef>
          </c:val>
          <c:extLst>
            <c:ext xmlns:c16="http://schemas.microsoft.com/office/drawing/2014/chart" uri="{C3380CC4-5D6E-409C-BE32-E72D297353CC}">
              <c16:uniqueId val="{00000000-CBD1-4989-9343-35F212D91C87}"/>
            </c:ext>
          </c:extLst>
        </c:ser>
        <c:ser>
          <c:idx val="1"/>
          <c:order val="1"/>
          <c:spPr>
            <a:solidFill>
              <a:srgbClr val="1F1F1F"/>
            </a:solidFill>
            <a:ln>
              <a:noFill/>
            </a:ln>
            <a:effectLst/>
          </c:spPr>
          <c:invertIfNegative val="0"/>
          <c:val>
            <c:numRef>
              <c:f>'Pivot Table'!$O$19</c:f>
              <c:numCache>
                <c:formatCode>0%</c:formatCode>
                <c:ptCount val="1"/>
                <c:pt idx="0">
                  <c:v>0.62</c:v>
                </c:pt>
              </c:numCache>
            </c:numRef>
          </c:val>
          <c:extLst>
            <c:ext xmlns:c16="http://schemas.microsoft.com/office/drawing/2014/chart" uri="{C3380CC4-5D6E-409C-BE32-E72D297353CC}">
              <c16:uniqueId val="{00000001-CBD1-4989-9343-35F212D91C87}"/>
            </c:ext>
          </c:extLst>
        </c:ser>
        <c:dLbls>
          <c:showLegendKey val="0"/>
          <c:showVal val="0"/>
          <c:showCatName val="0"/>
          <c:showSerName val="0"/>
          <c:showPercent val="0"/>
          <c:showBubbleSize val="0"/>
        </c:dLbls>
        <c:gapWidth val="150"/>
        <c:overlap val="100"/>
        <c:axId val="1277189967"/>
        <c:axId val="1277190447"/>
      </c:barChart>
      <c:catAx>
        <c:axId val="1277189967"/>
        <c:scaling>
          <c:orientation val="minMax"/>
        </c:scaling>
        <c:delete val="1"/>
        <c:axPos val="l"/>
        <c:majorTickMark val="none"/>
        <c:minorTickMark val="none"/>
        <c:tickLblPos val="nextTo"/>
        <c:crossAx val="1277190447"/>
        <c:crosses val="autoZero"/>
        <c:auto val="1"/>
        <c:lblAlgn val="ctr"/>
        <c:lblOffset val="100"/>
        <c:noMultiLvlLbl val="0"/>
      </c:catAx>
      <c:valAx>
        <c:axId val="1277190447"/>
        <c:scaling>
          <c:orientation val="minMax"/>
        </c:scaling>
        <c:delete val="1"/>
        <c:axPos val="b"/>
        <c:numFmt formatCode="0%" sourceLinked="1"/>
        <c:majorTickMark val="none"/>
        <c:minorTickMark val="none"/>
        <c:tickLblPos val="nextTo"/>
        <c:crossAx val="127718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5AC3-4F13-B44B-48BE1A9F9448}"/>
              </c:ext>
            </c:extLst>
          </c:dPt>
          <c:dPt>
            <c:idx val="1"/>
            <c:bubble3D val="0"/>
            <c:spPr>
              <a:solidFill>
                <a:srgbClr val="1F1F1F"/>
              </a:solidFill>
              <a:ln w="19050">
                <a:noFill/>
              </a:ln>
              <a:effectLst/>
            </c:spPr>
            <c:extLst>
              <c:ext xmlns:c16="http://schemas.microsoft.com/office/drawing/2014/chart" uri="{C3380CC4-5D6E-409C-BE32-E72D297353CC}">
                <c16:uniqueId val="{00000003-5AC3-4F13-B44B-48BE1A9F9448}"/>
              </c:ext>
            </c:extLst>
          </c:dPt>
          <c:val>
            <c:numRef>
              <c:f>'Pivot Table'!$K$23:$L$23</c:f>
              <c:numCache>
                <c:formatCode>0%</c:formatCode>
                <c:ptCount val="2"/>
                <c:pt idx="0">
                  <c:v>0.48</c:v>
                </c:pt>
                <c:pt idx="1">
                  <c:v>0.52</c:v>
                </c:pt>
              </c:numCache>
            </c:numRef>
          </c:val>
          <c:extLst>
            <c:ext xmlns:c16="http://schemas.microsoft.com/office/drawing/2014/chart" uri="{C3380CC4-5D6E-409C-BE32-E72D297353CC}">
              <c16:uniqueId val="{00000004-5AC3-4F13-B44B-48BE1A9F944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5B344"/>
              </a:solidFill>
              <a:ln w="19050">
                <a:noFill/>
              </a:ln>
              <a:effectLst/>
            </c:spPr>
            <c:extLst>
              <c:ext xmlns:c16="http://schemas.microsoft.com/office/drawing/2014/chart" uri="{C3380CC4-5D6E-409C-BE32-E72D297353CC}">
                <c16:uniqueId val="{00000001-F889-4FDC-AE13-B56662D5DEA6}"/>
              </c:ext>
            </c:extLst>
          </c:dPt>
          <c:dPt>
            <c:idx val="1"/>
            <c:bubble3D val="0"/>
            <c:spPr>
              <a:solidFill>
                <a:srgbClr val="1F1F1F"/>
              </a:solidFill>
              <a:ln w="19050">
                <a:noFill/>
              </a:ln>
              <a:effectLst/>
            </c:spPr>
            <c:extLst>
              <c:ext xmlns:c16="http://schemas.microsoft.com/office/drawing/2014/chart" uri="{C3380CC4-5D6E-409C-BE32-E72D297353CC}">
                <c16:uniqueId val="{00000003-F889-4FDC-AE13-B56662D5DEA6}"/>
              </c:ext>
            </c:extLst>
          </c:dPt>
          <c:val>
            <c:numRef>
              <c:f>'Pivot Table'!$K$24:$L$24</c:f>
              <c:numCache>
                <c:formatCode>0%</c:formatCode>
                <c:ptCount val="2"/>
                <c:pt idx="0">
                  <c:v>0.52</c:v>
                </c:pt>
                <c:pt idx="1">
                  <c:v>0.48</c:v>
                </c:pt>
              </c:numCache>
            </c:numRef>
          </c:val>
          <c:extLst>
            <c:ext xmlns:c16="http://schemas.microsoft.com/office/drawing/2014/chart" uri="{C3380CC4-5D6E-409C-BE32-E72D297353CC}">
              <c16:uniqueId val="{00000004-F889-4FDC-AE13-B56662D5DE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654352794206778E-2"/>
          <c:y val="2.5160605228122822E-2"/>
          <c:w val="0.96469129441158641"/>
          <c:h val="0.9496787895437544"/>
        </c:manualLayout>
      </c:layout>
      <c:barChart>
        <c:barDir val="col"/>
        <c:grouping val="clustered"/>
        <c:varyColors val="0"/>
        <c:ser>
          <c:idx val="0"/>
          <c:order val="0"/>
          <c:tx>
            <c:strRef>
              <c:f>'Pivot Table'!$E$14</c:f>
              <c:strCache>
                <c:ptCount val="1"/>
                <c:pt idx="0">
                  <c:v>Analyst</c:v>
                </c:pt>
              </c:strCache>
            </c:strRef>
          </c:tx>
          <c:spPr>
            <a:solidFill>
              <a:srgbClr val="77933C"/>
            </a:solidFill>
            <a:ln>
              <a:noFill/>
            </a:ln>
            <a:effectLst/>
          </c:spPr>
          <c:invertIfNegative val="0"/>
          <c:val>
            <c:numRef>
              <c:f>'Pivot Table'!$G$14</c:f>
              <c:numCache>
                <c:formatCode>_ * #,##0_ ;_ * \-#,##0_ ;_ * "-"??_ ;_ @_ </c:formatCode>
                <c:ptCount val="1"/>
                <c:pt idx="0">
                  <c:v>28</c:v>
                </c:pt>
              </c:numCache>
            </c:numRef>
          </c:val>
          <c:extLst>
            <c:ext xmlns:c16="http://schemas.microsoft.com/office/drawing/2014/chart" uri="{C3380CC4-5D6E-409C-BE32-E72D297353CC}">
              <c16:uniqueId val="{00000000-9FC2-4796-9AF5-C4BD9898ED35}"/>
            </c:ext>
          </c:extLst>
        </c:ser>
        <c:ser>
          <c:idx val="1"/>
          <c:order val="1"/>
          <c:tx>
            <c:strRef>
              <c:f>'Pivot Table'!$E$15</c:f>
              <c:strCache>
                <c:ptCount val="1"/>
                <c:pt idx="0">
                  <c:v>Designer</c:v>
                </c:pt>
              </c:strCache>
            </c:strRef>
          </c:tx>
          <c:spPr>
            <a:solidFill>
              <a:schemeClr val="bg2">
                <a:lumMod val="50000"/>
              </a:schemeClr>
            </a:solidFill>
            <a:ln>
              <a:noFill/>
            </a:ln>
            <a:effectLst/>
          </c:spPr>
          <c:invertIfNegative val="0"/>
          <c:val>
            <c:numRef>
              <c:f>'Pivot Table'!$G$15</c:f>
              <c:numCache>
                <c:formatCode>_ * #,##0_ ;_ * \-#,##0_ ;_ * "-"??_ ;_ @_ </c:formatCode>
                <c:ptCount val="1"/>
                <c:pt idx="0">
                  <c:v>110</c:v>
                </c:pt>
              </c:numCache>
            </c:numRef>
          </c:val>
          <c:extLst>
            <c:ext xmlns:c16="http://schemas.microsoft.com/office/drawing/2014/chart" uri="{C3380CC4-5D6E-409C-BE32-E72D297353CC}">
              <c16:uniqueId val="{00000001-9FC2-4796-9AF5-C4BD9898ED35}"/>
            </c:ext>
          </c:extLst>
        </c:ser>
        <c:ser>
          <c:idx val="2"/>
          <c:order val="2"/>
          <c:tx>
            <c:strRef>
              <c:f>'Pivot Table'!$E$16</c:f>
              <c:strCache>
                <c:ptCount val="1"/>
                <c:pt idx="0">
                  <c:v>Developer</c:v>
                </c:pt>
              </c:strCache>
            </c:strRef>
          </c:tx>
          <c:spPr>
            <a:solidFill>
              <a:srgbClr val="948A54"/>
            </a:solidFill>
            <a:ln>
              <a:noFill/>
            </a:ln>
            <a:effectLst/>
          </c:spPr>
          <c:invertIfNegative val="0"/>
          <c:val>
            <c:numRef>
              <c:f>'Pivot Table'!$G$16</c:f>
              <c:numCache>
                <c:formatCode>_ * #,##0_ ;_ * \-#,##0_ ;_ * "-"??_ ;_ @_ </c:formatCode>
                <c:ptCount val="1"/>
                <c:pt idx="0">
                  <c:v>104</c:v>
                </c:pt>
              </c:numCache>
            </c:numRef>
          </c:val>
          <c:extLst>
            <c:ext xmlns:c16="http://schemas.microsoft.com/office/drawing/2014/chart" uri="{C3380CC4-5D6E-409C-BE32-E72D297353CC}">
              <c16:uniqueId val="{00000002-9FC2-4796-9AF5-C4BD9898ED35}"/>
            </c:ext>
          </c:extLst>
        </c:ser>
        <c:ser>
          <c:idx val="3"/>
          <c:order val="3"/>
          <c:tx>
            <c:strRef>
              <c:f>'Pivot Table'!$E$17</c:f>
              <c:strCache>
                <c:ptCount val="1"/>
                <c:pt idx="0">
                  <c:v>HR Specialist</c:v>
                </c:pt>
              </c:strCache>
            </c:strRef>
          </c:tx>
          <c:spPr>
            <a:solidFill>
              <a:schemeClr val="bg1">
                <a:lumMod val="85000"/>
              </a:schemeClr>
            </a:solidFill>
            <a:ln>
              <a:noFill/>
            </a:ln>
            <a:effectLst/>
          </c:spPr>
          <c:invertIfNegative val="0"/>
          <c:val>
            <c:numRef>
              <c:f>'Pivot Table'!$G$17</c:f>
              <c:numCache>
                <c:formatCode>_ * #,##0_ ;_ * \-#,##0_ ;_ * "-"??_ ;_ @_ </c:formatCode>
                <c:ptCount val="1"/>
                <c:pt idx="0">
                  <c:v>123</c:v>
                </c:pt>
              </c:numCache>
            </c:numRef>
          </c:val>
          <c:extLst>
            <c:ext xmlns:c16="http://schemas.microsoft.com/office/drawing/2014/chart" uri="{C3380CC4-5D6E-409C-BE32-E72D297353CC}">
              <c16:uniqueId val="{00000003-9FC2-4796-9AF5-C4BD9898ED35}"/>
            </c:ext>
          </c:extLst>
        </c:ser>
        <c:ser>
          <c:idx val="4"/>
          <c:order val="4"/>
          <c:tx>
            <c:strRef>
              <c:f>'Pivot Table'!$E$18</c:f>
              <c:strCache>
                <c:ptCount val="1"/>
                <c:pt idx="0">
                  <c:v>Manager</c:v>
                </c:pt>
              </c:strCache>
            </c:strRef>
          </c:tx>
          <c:spPr>
            <a:solidFill>
              <a:srgbClr val="E5B344"/>
            </a:solidFill>
            <a:ln>
              <a:noFill/>
            </a:ln>
            <a:effectLst/>
          </c:spPr>
          <c:invertIfNegative val="0"/>
          <c:val>
            <c:numRef>
              <c:f>'Pivot Table'!$G$18</c:f>
              <c:numCache>
                <c:formatCode>_ * #,##0_ ;_ * \-#,##0_ ;_ * "-"??_ ;_ @_ </c:formatCode>
                <c:ptCount val="1"/>
                <c:pt idx="0">
                  <c:v>122</c:v>
                </c:pt>
              </c:numCache>
            </c:numRef>
          </c:val>
          <c:extLst>
            <c:ext xmlns:c16="http://schemas.microsoft.com/office/drawing/2014/chart" uri="{C3380CC4-5D6E-409C-BE32-E72D297353CC}">
              <c16:uniqueId val="{00000004-9FC2-4796-9AF5-C4BD9898ED35}"/>
            </c:ext>
          </c:extLst>
        </c:ser>
        <c:dLbls>
          <c:showLegendKey val="0"/>
          <c:showVal val="0"/>
          <c:showCatName val="0"/>
          <c:showSerName val="0"/>
          <c:showPercent val="0"/>
          <c:showBubbleSize val="0"/>
        </c:dLbls>
        <c:gapWidth val="219"/>
        <c:overlap val="-27"/>
        <c:axId val="1667176927"/>
        <c:axId val="1667168767"/>
      </c:barChart>
      <c:catAx>
        <c:axId val="1667176927"/>
        <c:scaling>
          <c:orientation val="minMax"/>
        </c:scaling>
        <c:delete val="1"/>
        <c:axPos val="b"/>
        <c:numFmt formatCode="General" sourceLinked="1"/>
        <c:majorTickMark val="none"/>
        <c:minorTickMark val="none"/>
        <c:tickLblPos val="nextTo"/>
        <c:crossAx val="1667168767"/>
        <c:crosses val="autoZero"/>
        <c:auto val="1"/>
        <c:lblAlgn val="ctr"/>
        <c:lblOffset val="100"/>
        <c:noMultiLvlLbl val="0"/>
      </c:catAx>
      <c:valAx>
        <c:axId val="1667168767"/>
        <c:scaling>
          <c:orientation val="minMax"/>
        </c:scaling>
        <c:delete val="1"/>
        <c:axPos val="l"/>
        <c:majorGridlines>
          <c:spPr>
            <a:ln w="9525" cap="flat" cmpd="sng" algn="ctr">
              <a:solidFill>
                <a:srgbClr val="E5B344">
                  <a:alpha val="35000"/>
                </a:srgbClr>
              </a:solidFill>
              <a:prstDash val="lgDashDotDot"/>
              <a:round/>
            </a:ln>
            <a:effectLst/>
          </c:spPr>
        </c:majorGridlines>
        <c:numFmt formatCode="_ * #,##0_ ;_ * \-#,##0_ ;_ * &quot;-&quot;??_ ;_ @_ " sourceLinked="1"/>
        <c:majorTickMark val="none"/>
        <c:minorTickMark val="none"/>
        <c:tickLblPos val="nextTo"/>
        <c:crossAx val="16671769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Ready_HR dashboard.xlsx]Pivot Table!Region</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66350945262277"/>
          <c:y val="0.11514682909125339"/>
          <c:w val="0.74162653581345805"/>
          <c:h val="0.79794760123922392"/>
        </c:manualLayout>
      </c:layout>
      <c:barChart>
        <c:barDir val="bar"/>
        <c:grouping val="clustered"/>
        <c:varyColors val="0"/>
        <c:ser>
          <c:idx val="0"/>
          <c:order val="0"/>
          <c:tx>
            <c:strRef>
              <c:f>'Pivot Table'!$U$5</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Table'!$T$6:$T$11</c:f>
              <c:strCache>
                <c:ptCount val="5"/>
                <c:pt idx="0">
                  <c:v>Central</c:v>
                </c:pt>
                <c:pt idx="1">
                  <c:v>East</c:v>
                </c:pt>
                <c:pt idx="2">
                  <c:v>North</c:v>
                </c:pt>
                <c:pt idx="3">
                  <c:v>South</c:v>
                </c:pt>
                <c:pt idx="4">
                  <c:v>West</c:v>
                </c:pt>
              </c:strCache>
            </c:strRef>
          </c:cat>
          <c:val>
            <c:numRef>
              <c:f>'Pivot Table'!$U$6:$U$11</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9AB7-4614-B42E-79076D493B68}"/>
            </c:ext>
          </c:extLst>
        </c:ser>
        <c:dLbls>
          <c:showLegendKey val="0"/>
          <c:showVal val="0"/>
          <c:showCatName val="0"/>
          <c:showSerName val="0"/>
          <c:showPercent val="0"/>
          <c:showBubbleSize val="0"/>
        </c:dLbls>
        <c:gapWidth val="25"/>
        <c:axId val="1817044399"/>
        <c:axId val="1817049199"/>
      </c:barChart>
      <c:catAx>
        <c:axId val="1817044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bg1">
                    <a:lumMod val="95000"/>
                  </a:schemeClr>
                </a:solidFill>
                <a:latin typeface="+mn-lt"/>
                <a:ea typeface="+mn-ea"/>
                <a:cs typeface="+mn-cs"/>
              </a:defRPr>
            </a:pPr>
            <a:endParaRPr lang="en-US"/>
          </a:p>
        </c:txPr>
        <c:crossAx val="1817049199"/>
        <c:crosses val="autoZero"/>
        <c:auto val="1"/>
        <c:lblAlgn val="ctr"/>
        <c:lblOffset val="100"/>
        <c:noMultiLvlLbl val="0"/>
      </c:catAx>
      <c:valAx>
        <c:axId val="1817049199"/>
        <c:scaling>
          <c:orientation val="minMax"/>
        </c:scaling>
        <c:delete val="1"/>
        <c:axPos val="b"/>
        <c:numFmt formatCode="General" sourceLinked="1"/>
        <c:majorTickMark val="out"/>
        <c:minorTickMark val="none"/>
        <c:tickLblPos val="nextTo"/>
        <c:crossAx val="181704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143231</xdr:colOff>
      <xdr:row>35</xdr:row>
      <xdr:rowOff>145385</xdr:rowOff>
    </xdr:to>
    <xdr:sp macro="" textlink="">
      <xdr:nvSpPr>
        <xdr:cNvPr id="2" name="Rectangle: Rounded Corners 1">
          <a:extLst>
            <a:ext uri="{FF2B5EF4-FFF2-40B4-BE49-F238E27FC236}">
              <a16:creationId xmlns:a16="http://schemas.microsoft.com/office/drawing/2014/main" id="{AEAC380B-D67D-9173-0B87-8EA461EA14E9}"/>
            </a:ext>
          </a:extLst>
        </xdr:cNvPr>
        <xdr:cNvSpPr/>
      </xdr:nvSpPr>
      <xdr:spPr>
        <a:xfrm>
          <a:off x="0" y="0"/>
          <a:ext cx="10544253" cy="6374874"/>
        </a:xfrm>
        <a:prstGeom prst="roundRect">
          <a:avLst>
            <a:gd name="adj" fmla="val 281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316100</xdr:colOff>
      <xdr:row>24</xdr:row>
      <xdr:rowOff>141497</xdr:rowOff>
    </xdr:from>
    <xdr:to>
      <xdr:col>3</xdr:col>
      <xdr:colOff>395300</xdr:colOff>
      <xdr:row>34</xdr:row>
      <xdr:rowOff>148556</xdr:rowOff>
    </xdr:to>
    <xdr:sp macro="" textlink="">
      <xdr:nvSpPr>
        <xdr:cNvPr id="3" name="Rectangle: Rounded Corners 2">
          <a:extLst>
            <a:ext uri="{FF2B5EF4-FFF2-40B4-BE49-F238E27FC236}">
              <a16:creationId xmlns:a16="http://schemas.microsoft.com/office/drawing/2014/main" id="{D47F8CF1-8C7A-37B0-9ABC-D5E3BF7D9204}"/>
            </a:ext>
          </a:extLst>
        </xdr:cNvPr>
        <xdr:cNvSpPr/>
      </xdr:nvSpPr>
      <xdr:spPr>
        <a:xfrm>
          <a:off x="316100" y="4321611"/>
          <a:ext cx="1908000" cy="174877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297347</xdr:colOff>
      <xdr:row>6</xdr:row>
      <xdr:rowOff>93214</xdr:rowOff>
    </xdr:from>
    <xdr:to>
      <xdr:col>3</xdr:col>
      <xdr:colOff>376547</xdr:colOff>
      <xdr:row>23</xdr:row>
      <xdr:rowOff>9203</xdr:rowOff>
    </xdr:to>
    <xdr:sp macro="" textlink="">
      <xdr:nvSpPr>
        <xdr:cNvPr id="4" name="Rectangle: Rounded Corners 3">
          <a:extLst>
            <a:ext uri="{FF2B5EF4-FFF2-40B4-BE49-F238E27FC236}">
              <a16:creationId xmlns:a16="http://schemas.microsoft.com/office/drawing/2014/main" id="{5C6DE7A0-13A0-0AAA-8013-2B8CC9A7DEA1}"/>
            </a:ext>
          </a:extLst>
        </xdr:cNvPr>
        <xdr:cNvSpPr/>
      </xdr:nvSpPr>
      <xdr:spPr>
        <a:xfrm>
          <a:off x="297347" y="1162472"/>
          <a:ext cx="1904313" cy="294555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588198</xdr:colOff>
      <xdr:row>21</xdr:row>
      <xdr:rowOff>142828</xdr:rowOff>
    </xdr:from>
    <xdr:to>
      <xdr:col>7</xdr:col>
      <xdr:colOff>597798</xdr:colOff>
      <xdr:row>34</xdr:row>
      <xdr:rowOff>148556</xdr:rowOff>
    </xdr:to>
    <xdr:sp macro="" textlink="">
      <xdr:nvSpPr>
        <xdr:cNvPr id="5" name="Rectangle: Rounded Corners 4">
          <a:extLst>
            <a:ext uri="{FF2B5EF4-FFF2-40B4-BE49-F238E27FC236}">
              <a16:creationId xmlns:a16="http://schemas.microsoft.com/office/drawing/2014/main" id="{4203D954-3FE7-C41F-A4FA-381D7016B1D1}"/>
            </a:ext>
          </a:extLst>
        </xdr:cNvPr>
        <xdr:cNvSpPr/>
      </xdr:nvSpPr>
      <xdr:spPr>
        <a:xfrm>
          <a:off x="2426937" y="3795458"/>
          <a:ext cx="2461252" cy="2266881"/>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160632</xdr:colOff>
      <xdr:row>21</xdr:row>
      <xdr:rowOff>167676</xdr:rowOff>
    </xdr:from>
    <xdr:to>
      <xdr:col>12</xdr:col>
      <xdr:colOff>170232</xdr:colOff>
      <xdr:row>34</xdr:row>
      <xdr:rowOff>173404</xdr:rowOff>
    </xdr:to>
    <xdr:sp macro="" textlink="">
      <xdr:nvSpPr>
        <xdr:cNvPr id="6" name="Rectangle: Rounded Corners 5">
          <a:extLst>
            <a:ext uri="{FF2B5EF4-FFF2-40B4-BE49-F238E27FC236}">
              <a16:creationId xmlns:a16="http://schemas.microsoft.com/office/drawing/2014/main" id="{735F878E-F51A-D418-B8C9-EB2A8B9BAB4A}"/>
            </a:ext>
          </a:extLst>
        </xdr:cNvPr>
        <xdr:cNvSpPr/>
      </xdr:nvSpPr>
      <xdr:spPr>
        <a:xfrm>
          <a:off x="5063936" y="3820306"/>
          <a:ext cx="2461253" cy="2266881"/>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169099</xdr:colOff>
      <xdr:row>6</xdr:row>
      <xdr:rowOff>118062</xdr:rowOff>
    </xdr:from>
    <xdr:to>
      <xdr:col>12</xdr:col>
      <xdr:colOff>178699</xdr:colOff>
      <xdr:row>19</xdr:row>
      <xdr:rowOff>123790</xdr:rowOff>
    </xdr:to>
    <xdr:sp macro="" textlink="">
      <xdr:nvSpPr>
        <xdr:cNvPr id="7" name="Rectangle: Rounded Corners 6">
          <a:extLst>
            <a:ext uri="{FF2B5EF4-FFF2-40B4-BE49-F238E27FC236}">
              <a16:creationId xmlns:a16="http://schemas.microsoft.com/office/drawing/2014/main" id="{FF6C289D-496A-5DB7-EB7C-88F323CD6E71}"/>
            </a:ext>
          </a:extLst>
        </xdr:cNvPr>
        <xdr:cNvSpPr/>
      </xdr:nvSpPr>
      <xdr:spPr>
        <a:xfrm>
          <a:off x="5072403" y="1161671"/>
          <a:ext cx="2461253" cy="2266880"/>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588198</xdr:colOff>
      <xdr:row>6</xdr:row>
      <xdr:rowOff>118062</xdr:rowOff>
    </xdr:from>
    <xdr:to>
      <xdr:col>7</xdr:col>
      <xdr:colOff>597798</xdr:colOff>
      <xdr:row>12</xdr:row>
      <xdr:rowOff>131262</xdr:rowOff>
    </xdr:to>
    <xdr:sp macro="" textlink="">
      <xdr:nvSpPr>
        <xdr:cNvPr id="8" name="Rectangle: Rounded Corners 7">
          <a:extLst>
            <a:ext uri="{FF2B5EF4-FFF2-40B4-BE49-F238E27FC236}">
              <a16:creationId xmlns:a16="http://schemas.microsoft.com/office/drawing/2014/main" id="{6E9E3DBE-F7B9-CFBA-AF1F-2D83E1626EC9}"/>
            </a:ext>
          </a:extLst>
        </xdr:cNvPr>
        <xdr:cNvSpPr/>
      </xdr:nvSpPr>
      <xdr:spPr>
        <a:xfrm>
          <a:off x="2426937" y="1161671"/>
          <a:ext cx="2461252" cy="1056808"/>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605131</xdr:colOff>
      <xdr:row>14</xdr:row>
      <xdr:rowOff>19408</xdr:rowOff>
    </xdr:from>
    <xdr:to>
      <xdr:col>5</xdr:col>
      <xdr:colOff>465931</xdr:colOff>
      <xdr:row>20</xdr:row>
      <xdr:rowOff>32608</xdr:rowOff>
    </xdr:to>
    <xdr:sp macro="" textlink="">
      <xdr:nvSpPr>
        <xdr:cNvPr id="9" name="Rectangle: Rounded Corners 8">
          <a:extLst>
            <a:ext uri="{FF2B5EF4-FFF2-40B4-BE49-F238E27FC236}">
              <a16:creationId xmlns:a16="http://schemas.microsoft.com/office/drawing/2014/main" id="{C8958243-1092-CB10-68A9-F01CD85E68A1}"/>
            </a:ext>
          </a:extLst>
        </xdr:cNvPr>
        <xdr:cNvSpPr/>
      </xdr:nvSpPr>
      <xdr:spPr>
        <a:xfrm>
          <a:off x="2443870" y="2454495"/>
          <a:ext cx="1086626" cy="1056809"/>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54798</xdr:colOff>
      <xdr:row>14</xdr:row>
      <xdr:rowOff>36341</xdr:rowOff>
    </xdr:from>
    <xdr:to>
      <xdr:col>7</xdr:col>
      <xdr:colOff>525198</xdr:colOff>
      <xdr:row>20</xdr:row>
      <xdr:rowOff>45676</xdr:rowOff>
    </xdr:to>
    <xdr:sp macro="" textlink="">
      <xdr:nvSpPr>
        <xdr:cNvPr id="10" name="Rectangle: Rounded Corners 9">
          <a:extLst>
            <a:ext uri="{FF2B5EF4-FFF2-40B4-BE49-F238E27FC236}">
              <a16:creationId xmlns:a16="http://schemas.microsoft.com/office/drawing/2014/main" id="{9C20C185-6633-5EF0-B3A1-7C5007B39B8D}"/>
            </a:ext>
          </a:extLst>
        </xdr:cNvPr>
        <xdr:cNvSpPr/>
      </xdr:nvSpPr>
      <xdr:spPr>
        <a:xfrm>
          <a:off x="3732276" y="2471428"/>
          <a:ext cx="1083313" cy="105294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366993</xdr:colOff>
      <xdr:row>20</xdr:row>
      <xdr:rowOff>157369</xdr:rowOff>
    </xdr:from>
    <xdr:to>
      <xdr:col>16</xdr:col>
      <xdr:colOff>521804</xdr:colOff>
      <xdr:row>34</xdr:row>
      <xdr:rowOff>173404</xdr:rowOff>
    </xdr:to>
    <xdr:grpSp>
      <xdr:nvGrpSpPr>
        <xdr:cNvPr id="28" name="Group 27">
          <a:extLst>
            <a:ext uri="{FF2B5EF4-FFF2-40B4-BE49-F238E27FC236}">
              <a16:creationId xmlns:a16="http://schemas.microsoft.com/office/drawing/2014/main" id="{D3D89877-D5EA-65E6-C5E5-60E9B75FA65C}"/>
            </a:ext>
          </a:extLst>
        </xdr:cNvPr>
        <xdr:cNvGrpSpPr/>
      </xdr:nvGrpSpPr>
      <xdr:grpSpPr>
        <a:xfrm>
          <a:off x="7682193" y="3662569"/>
          <a:ext cx="2593211" cy="2469675"/>
          <a:chOff x="7721950" y="3384871"/>
          <a:chExt cx="2646625" cy="2702316"/>
        </a:xfrm>
      </xdr:grpSpPr>
      <xdr:sp macro="" textlink="">
        <xdr:nvSpPr>
          <xdr:cNvPr id="11" name="Rectangle: Rounded Corners 10">
            <a:extLst>
              <a:ext uri="{FF2B5EF4-FFF2-40B4-BE49-F238E27FC236}">
                <a16:creationId xmlns:a16="http://schemas.microsoft.com/office/drawing/2014/main" id="{BF9FC0FA-7E85-F7EB-BC0E-5DFD8C5DFBA6}"/>
              </a:ext>
            </a:extLst>
          </xdr:cNvPr>
          <xdr:cNvSpPr/>
        </xdr:nvSpPr>
        <xdr:spPr>
          <a:xfrm>
            <a:off x="7721950" y="4837983"/>
            <a:ext cx="1225468" cy="124920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80D6304F-1402-8A96-27D7-76E512125CD7}"/>
              </a:ext>
            </a:extLst>
          </xdr:cNvPr>
          <xdr:cNvSpPr/>
        </xdr:nvSpPr>
        <xdr:spPr>
          <a:xfrm>
            <a:off x="9143107" y="4837983"/>
            <a:ext cx="1225468" cy="124920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F4C27F84-4C24-487F-2F26-96AD3A232034}"/>
              </a:ext>
            </a:extLst>
          </xdr:cNvPr>
          <xdr:cNvSpPr/>
        </xdr:nvSpPr>
        <xdr:spPr>
          <a:xfrm>
            <a:off x="9143107" y="3384871"/>
            <a:ext cx="1225468" cy="124920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12</xdr:col>
      <xdr:colOff>456960</xdr:colOff>
      <xdr:row>10</xdr:row>
      <xdr:rowOff>149769</xdr:rowOff>
    </xdr:from>
    <xdr:to>
      <xdr:col>16</xdr:col>
      <xdr:colOff>538560</xdr:colOff>
      <xdr:row>19</xdr:row>
      <xdr:rowOff>24119</xdr:rowOff>
    </xdr:to>
    <xdr:sp macro="" textlink="">
      <xdr:nvSpPr>
        <xdr:cNvPr id="15" name="Rectangle: Rounded Corners 14">
          <a:extLst>
            <a:ext uri="{FF2B5EF4-FFF2-40B4-BE49-F238E27FC236}">
              <a16:creationId xmlns:a16="http://schemas.microsoft.com/office/drawing/2014/main" id="{77B09DA7-6ED6-99E6-8B6F-03678CB0B7CF}"/>
            </a:ext>
          </a:extLst>
        </xdr:cNvPr>
        <xdr:cNvSpPr/>
      </xdr:nvSpPr>
      <xdr:spPr>
        <a:xfrm>
          <a:off x="7772160" y="1917609"/>
          <a:ext cx="2520000" cy="1465406"/>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524692</xdr:colOff>
      <xdr:row>0</xdr:row>
      <xdr:rowOff>0</xdr:rowOff>
    </xdr:from>
    <xdr:to>
      <xdr:col>16</xdr:col>
      <xdr:colOff>606292</xdr:colOff>
      <xdr:row>0</xdr:row>
      <xdr:rowOff>0</xdr:rowOff>
    </xdr:to>
    <xdr:sp macro="" textlink="">
      <xdr:nvSpPr>
        <xdr:cNvPr id="16" name="Rectangle: Rounded Corners 15">
          <a:extLst>
            <a:ext uri="{FF2B5EF4-FFF2-40B4-BE49-F238E27FC236}">
              <a16:creationId xmlns:a16="http://schemas.microsoft.com/office/drawing/2014/main" id="{BB0E79C3-F3AB-DE93-AE8F-3C63B8CD66FF}"/>
            </a:ext>
          </a:extLst>
        </xdr:cNvPr>
        <xdr:cNvSpPr/>
      </xdr:nvSpPr>
      <xdr:spPr>
        <a:xfrm>
          <a:off x="7839892" y="0"/>
          <a:ext cx="2520000" cy="0"/>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484337</xdr:colOff>
      <xdr:row>1</xdr:row>
      <xdr:rowOff>54832</xdr:rowOff>
    </xdr:from>
    <xdr:to>
      <xdr:col>16</xdr:col>
      <xdr:colOff>567100</xdr:colOff>
      <xdr:row>9</xdr:row>
      <xdr:rowOff>103354</xdr:rowOff>
    </xdr:to>
    <xdr:sp macro="" textlink="">
      <xdr:nvSpPr>
        <xdr:cNvPr id="17" name="Rectangle: Rounded Corners 16">
          <a:extLst>
            <a:ext uri="{FF2B5EF4-FFF2-40B4-BE49-F238E27FC236}">
              <a16:creationId xmlns:a16="http://schemas.microsoft.com/office/drawing/2014/main" id="{5A39B671-3606-7C5A-C623-B195AB669179}"/>
            </a:ext>
          </a:extLst>
        </xdr:cNvPr>
        <xdr:cNvSpPr/>
      </xdr:nvSpPr>
      <xdr:spPr>
        <a:xfrm>
          <a:off x="7799537" y="231616"/>
          <a:ext cx="2521163" cy="1462794"/>
        </a:xfrm>
        <a:prstGeom prst="roundRect">
          <a:avLst>
            <a:gd name="adj" fmla="val 550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555695</xdr:colOff>
      <xdr:row>20</xdr:row>
      <xdr:rowOff>171838</xdr:rowOff>
    </xdr:from>
    <xdr:to>
      <xdr:col>16</xdr:col>
      <xdr:colOff>269320</xdr:colOff>
      <xdr:row>24</xdr:row>
      <xdr:rowOff>83821</xdr:rowOff>
    </xdr:to>
    <xdr:sp macro="" textlink="">
      <xdr:nvSpPr>
        <xdr:cNvPr id="29" name="TextBox 28">
          <a:extLst>
            <a:ext uri="{FF2B5EF4-FFF2-40B4-BE49-F238E27FC236}">
              <a16:creationId xmlns:a16="http://schemas.microsoft.com/office/drawing/2014/main" id="{83CAEDCF-06F6-1F3C-5B3C-FB3EBE0DB2B4}"/>
            </a:ext>
          </a:extLst>
        </xdr:cNvPr>
        <xdr:cNvSpPr txBox="1"/>
      </xdr:nvSpPr>
      <xdr:spPr>
        <a:xfrm>
          <a:off x="9090095" y="3701101"/>
          <a:ext cx="932825" cy="617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Part </a:t>
          </a:r>
        </a:p>
        <a:p>
          <a:r>
            <a:rPr lang="en-IN" sz="1100">
              <a:solidFill>
                <a:schemeClr val="bg1"/>
              </a:solidFill>
            </a:rPr>
            <a:t>Time Employees</a:t>
          </a:r>
        </a:p>
        <a:p>
          <a:endParaRPr lang="en-IN" sz="1100">
            <a:solidFill>
              <a:schemeClr val="bg1"/>
            </a:solidFill>
          </a:endParaRPr>
        </a:p>
      </xdr:txBody>
    </xdr:sp>
    <xdr:clientData/>
  </xdr:twoCellAnchor>
  <xdr:twoCellAnchor>
    <xdr:from>
      <xdr:col>15</xdr:col>
      <xdr:colOff>458677</xdr:colOff>
      <xdr:row>24</xdr:row>
      <xdr:rowOff>13806</xdr:rowOff>
    </xdr:from>
    <xdr:to>
      <xdr:col>16</xdr:col>
      <xdr:colOff>497748</xdr:colOff>
      <xdr:row>27</xdr:row>
      <xdr:rowOff>51394</xdr:rowOff>
    </xdr:to>
    <xdr:sp macro="" textlink="'Pivot Table'!C14">
      <xdr:nvSpPr>
        <xdr:cNvPr id="31" name="TextBox 30">
          <a:extLst>
            <a:ext uri="{FF2B5EF4-FFF2-40B4-BE49-F238E27FC236}">
              <a16:creationId xmlns:a16="http://schemas.microsoft.com/office/drawing/2014/main" id="{AA3D5EF8-316E-9C39-6DA1-088E462F4EEA}"/>
            </a:ext>
          </a:extLst>
        </xdr:cNvPr>
        <xdr:cNvSpPr txBox="1"/>
      </xdr:nvSpPr>
      <xdr:spPr>
        <a:xfrm>
          <a:off x="9602677" y="4248922"/>
          <a:ext cx="648671" cy="566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B9A6A9-AE25-43AD-BB4F-53253A59C27B}" type="TxLink">
            <a:rPr lang="en-US" sz="3200" b="1" i="0" u="none" strike="noStrike">
              <a:solidFill>
                <a:schemeClr val="bg1"/>
              </a:solidFill>
              <a:latin typeface="Aptos Narrow"/>
            </a:rPr>
            <a:pPr/>
            <a:t>13</a:t>
          </a:fld>
          <a:endParaRPr lang="en-IN" sz="3200" b="1">
            <a:solidFill>
              <a:schemeClr val="bg1"/>
            </a:solidFill>
          </a:endParaRPr>
        </a:p>
      </xdr:txBody>
    </xdr:sp>
    <xdr:clientData/>
  </xdr:twoCellAnchor>
  <xdr:twoCellAnchor>
    <xdr:from>
      <xdr:col>14</xdr:col>
      <xdr:colOff>556662</xdr:colOff>
      <xdr:row>28</xdr:row>
      <xdr:rowOff>99544</xdr:rowOff>
    </xdr:from>
    <xdr:to>
      <xdr:col>16</xdr:col>
      <xdr:colOff>270287</xdr:colOff>
      <xdr:row>32</xdr:row>
      <xdr:rowOff>11527</xdr:rowOff>
    </xdr:to>
    <xdr:sp macro="" textlink="">
      <xdr:nvSpPr>
        <xdr:cNvPr id="32" name="TextBox 31">
          <a:extLst>
            <a:ext uri="{FF2B5EF4-FFF2-40B4-BE49-F238E27FC236}">
              <a16:creationId xmlns:a16="http://schemas.microsoft.com/office/drawing/2014/main" id="{07B19AB6-AE92-8791-4338-0086327B13D7}"/>
            </a:ext>
          </a:extLst>
        </xdr:cNvPr>
        <xdr:cNvSpPr txBox="1"/>
      </xdr:nvSpPr>
      <xdr:spPr>
        <a:xfrm>
          <a:off x="9104739" y="5023236"/>
          <a:ext cx="934779" cy="61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Full</a:t>
          </a:r>
        </a:p>
        <a:p>
          <a:r>
            <a:rPr lang="en-IN" sz="1100">
              <a:solidFill>
                <a:schemeClr val="bg1"/>
              </a:solidFill>
            </a:rPr>
            <a:t>Time</a:t>
          </a:r>
        </a:p>
        <a:p>
          <a:r>
            <a:rPr lang="en-IN" sz="1100">
              <a:solidFill>
                <a:schemeClr val="bg1"/>
              </a:solidFill>
            </a:rPr>
            <a:t>Employee</a:t>
          </a:r>
        </a:p>
        <a:p>
          <a:endParaRPr lang="en-IN" sz="1100">
            <a:solidFill>
              <a:schemeClr val="bg1"/>
            </a:solidFill>
          </a:endParaRPr>
        </a:p>
      </xdr:txBody>
    </xdr:sp>
    <xdr:clientData/>
  </xdr:twoCellAnchor>
  <xdr:twoCellAnchor>
    <xdr:from>
      <xdr:col>15</xdr:col>
      <xdr:colOff>459644</xdr:colOff>
      <xdr:row>31</xdr:row>
      <xdr:rowOff>117358</xdr:rowOff>
    </xdr:from>
    <xdr:to>
      <xdr:col>16</xdr:col>
      <xdr:colOff>498715</xdr:colOff>
      <xdr:row>34</xdr:row>
      <xdr:rowOff>154946</xdr:rowOff>
    </xdr:to>
    <xdr:sp macro="" textlink="'Pivot Table'!C13">
      <xdr:nvSpPr>
        <xdr:cNvPr id="33" name="TextBox 32">
          <a:extLst>
            <a:ext uri="{FF2B5EF4-FFF2-40B4-BE49-F238E27FC236}">
              <a16:creationId xmlns:a16="http://schemas.microsoft.com/office/drawing/2014/main" id="{AA17B274-418A-6D80-5B93-C8254446EDD7}"/>
            </a:ext>
          </a:extLst>
        </xdr:cNvPr>
        <xdr:cNvSpPr txBox="1"/>
      </xdr:nvSpPr>
      <xdr:spPr>
        <a:xfrm>
          <a:off x="9618298" y="5568589"/>
          <a:ext cx="649648" cy="5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C5F763-4382-40CC-B0AB-F0CB1A210D4D}" type="TxLink">
            <a:rPr lang="en-US" sz="3200" b="1" i="0" u="none" strike="noStrike">
              <a:solidFill>
                <a:schemeClr val="bg1"/>
              </a:solidFill>
              <a:latin typeface="Aptos Narrow"/>
            </a:rPr>
            <a:pPr/>
            <a:t>20</a:t>
          </a:fld>
          <a:endParaRPr lang="en-IN" sz="3200" b="1">
            <a:solidFill>
              <a:schemeClr val="bg1"/>
            </a:solidFill>
          </a:endParaRPr>
        </a:p>
      </xdr:txBody>
    </xdr:sp>
    <xdr:clientData/>
  </xdr:twoCellAnchor>
  <xdr:twoCellAnchor>
    <xdr:from>
      <xdr:col>12</xdr:col>
      <xdr:colOff>386666</xdr:colOff>
      <xdr:row>28</xdr:row>
      <xdr:rowOff>100517</xdr:rowOff>
    </xdr:from>
    <xdr:to>
      <xdr:col>14</xdr:col>
      <xdr:colOff>100291</xdr:colOff>
      <xdr:row>32</xdr:row>
      <xdr:rowOff>12500</xdr:rowOff>
    </xdr:to>
    <xdr:sp macro="" textlink="">
      <xdr:nvSpPr>
        <xdr:cNvPr id="34" name="TextBox 33">
          <a:extLst>
            <a:ext uri="{FF2B5EF4-FFF2-40B4-BE49-F238E27FC236}">
              <a16:creationId xmlns:a16="http://schemas.microsoft.com/office/drawing/2014/main" id="{8EE7526E-8A41-5ACB-58FB-DD90B5EE0E21}"/>
            </a:ext>
          </a:extLst>
        </xdr:cNvPr>
        <xdr:cNvSpPr txBox="1"/>
      </xdr:nvSpPr>
      <xdr:spPr>
        <a:xfrm>
          <a:off x="7713589" y="5024209"/>
          <a:ext cx="934779" cy="61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Employees</a:t>
          </a:r>
        </a:p>
        <a:p>
          <a:r>
            <a:rPr lang="en-IN" sz="1100">
              <a:solidFill>
                <a:schemeClr val="bg1"/>
              </a:solidFill>
            </a:rPr>
            <a:t>With</a:t>
          </a:r>
        </a:p>
        <a:p>
          <a:r>
            <a:rPr lang="en-IN" sz="1100">
              <a:solidFill>
                <a:schemeClr val="bg1"/>
              </a:solidFill>
            </a:rPr>
            <a:t>Contract</a:t>
          </a:r>
        </a:p>
      </xdr:txBody>
    </xdr:sp>
    <xdr:clientData/>
  </xdr:twoCellAnchor>
  <xdr:twoCellAnchor>
    <xdr:from>
      <xdr:col>13</xdr:col>
      <xdr:colOff>289648</xdr:colOff>
      <xdr:row>31</xdr:row>
      <xdr:rowOff>118331</xdr:rowOff>
    </xdr:from>
    <xdr:to>
      <xdr:col>14</xdr:col>
      <xdr:colOff>328719</xdr:colOff>
      <xdr:row>34</xdr:row>
      <xdr:rowOff>155919</xdr:rowOff>
    </xdr:to>
    <xdr:sp macro="" textlink="'Pivot Table'!C12">
      <xdr:nvSpPr>
        <xdr:cNvPr id="35" name="TextBox 34">
          <a:extLst>
            <a:ext uri="{FF2B5EF4-FFF2-40B4-BE49-F238E27FC236}">
              <a16:creationId xmlns:a16="http://schemas.microsoft.com/office/drawing/2014/main" id="{E1684D24-7B26-CC94-9842-49D105242484}"/>
            </a:ext>
          </a:extLst>
        </xdr:cNvPr>
        <xdr:cNvSpPr txBox="1"/>
      </xdr:nvSpPr>
      <xdr:spPr>
        <a:xfrm>
          <a:off x="8227148" y="5569562"/>
          <a:ext cx="649648" cy="5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50A37-51D3-4C84-92FE-6CF3F8A17C59}" type="TxLink">
            <a:rPr lang="en-US" sz="3200" b="1" i="0" u="none" strike="noStrike">
              <a:solidFill>
                <a:schemeClr val="bg1"/>
              </a:solidFill>
              <a:latin typeface="Aptos Narrow"/>
            </a:rPr>
            <a:pPr/>
            <a:t>17</a:t>
          </a:fld>
          <a:endParaRPr lang="en-IN" sz="3200" b="1">
            <a:solidFill>
              <a:schemeClr val="bg1"/>
            </a:solidFill>
          </a:endParaRPr>
        </a:p>
      </xdr:txBody>
    </xdr:sp>
    <xdr:clientData/>
  </xdr:twoCellAnchor>
  <xdr:twoCellAnchor>
    <xdr:from>
      <xdr:col>8</xdr:col>
      <xdr:colOff>344030</xdr:colOff>
      <xdr:row>24</xdr:row>
      <xdr:rowOff>152930</xdr:rowOff>
    </xdr:from>
    <xdr:to>
      <xdr:col>10</xdr:col>
      <xdr:colOff>97692</xdr:colOff>
      <xdr:row>26</xdr:row>
      <xdr:rowOff>100442</xdr:rowOff>
    </xdr:to>
    <xdr:sp macro="" textlink="">
      <xdr:nvSpPr>
        <xdr:cNvPr id="37" name="TextBox 36">
          <a:extLst>
            <a:ext uri="{FF2B5EF4-FFF2-40B4-BE49-F238E27FC236}">
              <a16:creationId xmlns:a16="http://schemas.microsoft.com/office/drawing/2014/main" id="{CC43AF70-8635-6683-4EBF-B95EE66A19D9}"/>
            </a:ext>
          </a:extLst>
        </xdr:cNvPr>
        <xdr:cNvSpPr txBox="1"/>
      </xdr:nvSpPr>
      <xdr:spPr>
        <a:xfrm>
          <a:off x="5227960" y="4323877"/>
          <a:ext cx="974644" cy="29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Total</a:t>
          </a:r>
          <a:r>
            <a:rPr lang="en-IN" sz="1100" b="1" baseline="0">
              <a:solidFill>
                <a:schemeClr val="bg1"/>
              </a:solidFill>
            </a:rPr>
            <a:t> Salaries</a:t>
          </a:r>
        </a:p>
      </xdr:txBody>
    </xdr:sp>
    <xdr:clientData/>
  </xdr:twoCellAnchor>
  <xdr:twoCellAnchor>
    <xdr:from>
      <xdr:col>8</xdr:col>
      <xdr:colOff>344030</xdr:colOff>
      <xdr:row>26</xdr:row>
      <xdr:rowOff>73908</xdr:rowOff>
    </xdr:from>
    <xdr:to>
      <xdr:col>10</xdr:col>
      <xdr:colOff>73420</xdr:colOff>
      <xdr:row>28</xdr:row>
      <xdr:rowOff>22735</xdr:rowOff>
    </xdr:to>
    <xdr:sp macro="" textlink="">
      <xdr:nvSpPr>
        <xdr:cNvPr id="39" name="TextBox 38">
          <a:extLst>
            <a:ext uri="{FF2B5EF4-FFF2-40B4-BE49-F238E27FC236}">
              <a16:creationId xmlns:a16="http://schemas.microsoft.com/office/drawing/2014/main" id="{DD5FBFE6-BC54-F81A-EDCE-5A4C18C60336}"/>
            </a:ext>
          </a:extLst>
        </xdr:cNvPr>
        <xdr:cNvSpPr txBox="1"/>
      </xdr:nvSpPr>
      <xdr:spPr>
        <a:xfrm>
          <a:off x="5227960" y="4592434"/>
          <a:ext cx="950372" cy="296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Manager</a:t>
          </a:r>
        </a:p>
      </xdr:txBody>
    </xdr:sp>
    <xdr:clientData/>
  </xdr:twoCellAnchor>
  <xdr:twoCellAnchor>
    <xdr:from>
      <xdr:col>8</xdr:col>
      <xdr:colOff>344031</xdr:colOff>
      <xdr:row>27</xdr:row>
      <xdr:rowOff>169865</xdr:rowOff>
    </xdr:from>
    <xdr:to>
      <xdr:col>10</xdr:col>
      <xdr:colOff>148492</xdr:colOff>
      <xdr:row>29</xdr:row>
      <xdr:rowOff>117377</xdr:rowOff>
    </xdr:to>
    <xdr:sp macro="" textlink="">
      <xdr:nvSpPr>
        <xdr:cNvPr id="40" name="TextBox 39">
          <a:extLst>
            <a:ext uri="{FF2B5EF4-FFF2-40B4-BE49-F238E27FC236}">
              <a16:creationId xmlns:a16="http://schemas.microsoft.com/office/drawing/2014/main" id="{FDE49DC8-4BA1-852B-DD8B-E1D65FA606D1}"/>
            </a:ext>
          </a:extLst>
        </xdr:cNvPr>
        <xdr:cNvSpPr txBox="1"/>
      </xdr:nvSpPr>
      <xdr:spPr>
        <a:xfrm>
          <a:off x="5227961" y="4862181"/>
          <a:ext cx="1025443" cy="29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HR Specialists</a:t>
          </a:r>
          <a:endParaRPr lang="en-IN" sz="1100" baseline="0">
            <a:solidFill>
              <a:schemeClr val="bg1"/>
            </a:solidFill>
          </a:endParaRPr>
        </a:p>
      </xdr:txBody>
    </xdr:sp>
    <xdr:clientData/>
  </xdr:twoCellAnchor>
  <xdr:twoCellAnchor>
    <xdr:from>
      <xdr:col>8</xdr:col>
      <xdr:colOff>344031</xdr:colOff>
      <xdr:row>29</xdr:row>
      <xdr:rowOff>90843</xdr:rowOff>
    </xdr:from>
    <xdr:to>
      <xdr:col>10</xdr:col>
      <xdr:colOff>95882</xdr:colOff>
      <xdr:row>31</xdr:row>
      <xdr:rowOff>39668</xdr:rowOff>
    </xdr:to>
    <xdr:sp macro="" textlink="">
      <xdr:nvSpPr>
        <xdr:cNvPr id="41" name="TextBox 40">
          <a:extLst>
            <a:ext uri="{FF2B5EF4-FFF2-40B4-BE49-F238E27FC236}">
              <a16:creationId xmlns:a16="http://schemas.microsoft.com/office/drawing/2014/main" id="{3FA1F6CB-2598-6185-CFEF-2FF8F5DA71CF}"/>
            </a:ext>
          </a:extLst>
        </xdr:cNvPr>
        <xdr:cNvSpPr txBox="1"/>
      </xdr:nvSpPr>
      <xdr:spPr>
        <a:xfrm>
          <a:off x="5227961" y="5130738"/>
          <a:ext cx="972833" cy="296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Developers</a:t>
          </a:r>
          <a:endParaRPr lang="en-IN" sz="1100" baseline="0">
            <a:solidFill>
              <a:schemeClr val="bg1"/>
            </a:solidFill>
          </a:endParaRPr>
        </a:p>
      </xdr:txBody>
    </xdr:sp>
    <xdr:clientData/>
  </xdr:twoCellAnchor>
  <xdr:twoCellAnchor>
    <xdr:from>
      <xdr:col>8</xdr:col>
      <xdr:colOff>344031</xdr:colOff>
      <xdr:row>31</xdr:row>
      <xdr:rowOff>13009</xdr:rowOff>
    </xdr:from>
    <xdr:to>
      <xdr:col>10</xdr:col>
      <xdr:colOff>95882</xdr:colOff>
      <xdr:row>32</xdr:row>
      <xdr:rowOff>134311</xdr:rowOff>
    </xdr:to>
    <xdr:sp macro="" textlink="">
      <xdr:nvSpPr>
        <xdr:cNvPr id="42" name="TextBox 41">
          <a:extLst>
            <a:ext uri="{FF2B5EF4-FFF2-40B4-BE49-F238E27FC236}">
              <a16:creationId xmlns:a16="http://schemas.microsoft.com/office/drawing/2014/main" id="{55B0E9EF-633E-1ED5-A25A-D085D6FE0C1B}"/>
            </a:ext>
          </a:extLst>
        </xdr:cNvPr>
        <xdr:cNvSpPr txBox="1"/>
      </xdr:nvSpPr>
      <xdr:spPr>
        <a:xfrm>
          <a:off x="5227961" y="5400483"/>
          <a:ext cx="972833" cy="29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Designers</a:t>
          </a:r>
          <a:endParaRPr lang="en-IN" sz="1100" baseline="0">
            <a:solidFill>
              <a:schemeClr val="bg1"/>
            </a:solidFill>
          </a:endParaRPr>
        </a:p>
      </xdr:txBody>
    </xdr:sp>
    <xdr:clientData/>
  </xdr:twoCellAnchor>
  <xdr:twoCellAnchor>
    <xdr:from>
      <xdr:col>8</xdr:col>
      <xdr:colOff>344031</xdr:colOff>
      <xdr:row>32</xdr:row>
      <xdr:rowOff>107777</xdr:rowOff>
    </xdr:from>
    <xdr:to>
      <xdr:col>10</xdr:col>
      <xdr:colOff>95882</xdr:colOff>
      <xdr:row>34</xdr:row>
      <xdr:rowOff>53473</xdr:rowOff>
    </xdr:to>
    <xdr:sp macro="" textlink="">
      <xdr:nvSpPr>
        <xdr:cNvPr id="43" name="TextBox 42">
          <a:extLst>
            <a:ext uri="{FF2B5EF4-FFF2-40B4-BE49-F238E27FC236}">
              <a16:creationId xmlns:a16="http://schemas.microsoft.com/office/drawing/2014/main" id="{F05A0385-F7C5-AC0E-F9E7-0957216D8632}"/>
            </a:ext>
          </a:extLst>
        </xdr:cNvPr>
        <xdr:cNvSpPr txBox="1"/>
      </xdr:nvSpPr>
      <xdr:spPr>
        <a:xfrm>
          <a:off x="5227961" y="5669040"/>
          <a:ext cx="972833" cy="293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Analysts</a:t>
          </a:r>
        </a:p>
      </xdr:txBody>
    </xdr:sp>
    <xdr:clientData/>
  </xdr:twoCellAnchor>
  <xdr:twoCellAnchor>
    <xdr:from>
      <xdr:col>10</xdr:col>
      <xdr:colOff>184355</xdr:colOff>
      <xdr:row>24</xdr:row>
      <xdr:rowOff>147484</xdr:rowOff>
    </xdr:from>
    <xdr:to>
      <xdr:col>12</xdr:col>
      <xdr:colOff>47613</xdr:colOff>
      <xdr:row>26</xdr:row>
      <xdr:rowOff>43064</xdr:rowOff>
    </xdr:to>
    <xdr:sp macro="" textlink="">
      <xdr:nvSpPr>
        <xdr:cNvPr id="55" name="Rectangle: Rounded Corners 54">
          <a:extLst>
            <a:ext uri="{FF2B5EF4-FFF2-40B4-BE49-F238E27FC236}">
              <a16:creationId xmlns:a16="http://schemas.microsoft.com/office/drawing/2014/main" id="{F28E18B4-AD36-C1AD-86AF-0DB632CDBD2E}"/>
            </a:ext>
          </a:extLst>
        </xdr:cNvPr>
        <xdr:cNvSpPr/>
      </xdr:nvSpPr>
      <xdr:spPr>
        <a:xfrm>
          <a:off x="6268065" y="4424516"/>
          <a:ext cx="1080000" cy="252000"/>
        </a:xfrm>
        <a:prstGeom prst="roundRect">
          <a:avLst/>
        </a:prstGeom>
        <a:solidFill>
          <a:srgbClr val="E5B3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198694</xdr:colOff>
      <xdr:row>24</xdr:row>
      <xdr:rowOff>154079</xdr:rowOff>
    </xdr:from>
    <xdr:to>
      <xdr:col>12</xdr:col>
      <xdr:colOff>29308</xdr:colOff>
      <xdr:row>26</xdr:row>
      <xdr:rowOff>73611</xdr:rowOff>
    </xdr:to>
    <xdr:sp macro="" textlink="'Pivot Table'!F19">
      <xdr:nvSpPr>
        <xdr:cNvPr id="49" name="TextBox 48">
          <a:extLst>
            <a:ext uri="{FF2B5EF4-FFF2-40B4-BE49-F238E27FC236}">
              <a16:creationId xmlns:a16="http://schemas.microsoft.com/office/drawing/2014/main" id="{E452F15C-9AB9-049F-CFF6-51595CC91F24}"/>
            </a:ext>
          </a:extLst>
        </xdr:cNvPr>
        <xdr:cNvSpPr txBox="1"/>
      </xdr:nvSpPr>
      <xdr:spPr>
        <a:xfrm>
          <a:off x="6303606" y="4325026"/>
          <a:ext cx="1051597" cy="26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7E7743-E396-4E64-BC37-EC8726CBF09C}" type="TxLink">
            <a:rPr lang="en-US" sz="1400" b="1" i="0" u="none" strike="noStrike" baseline="0">
              <a:solidFill>
                <a:srgbClr val="1F1F1F"/>
              </a:solidFill>
              <a:latin typeface="Kulim Park"/>
            </a:rPr>
            <a:pPr algn="ctr"/>
            <a:t> 31,04,913 </a:t>
          </a:fld>
          <a:endParaRPr lang="en-IN" sz="1400" b="1" baseline="0">
            <a:solidFill>
              <a:srgbClr val="1F1F1F"/>
            </a:solidFill>
          </a:endParaRPr>
        </a:p>
      </xdr:txBody>
    </xdr:sp>
    <xdr:clientData/>
  </xdr:twoCellAnchor>
  <xdr:twoCellAnchor>
    <xdr:from>
      <xdr:col>10</xdr:col>
      <xdr:colOff>184355</xdr:colOff>
      <xdr:row>26</xdr:row>
      <xdr:rowOff>62803</xdr:rowOff>
    </xdr:from>
    <xdr:to>
      <xdr:col>12</xdr:col>
      <xdr:colOff>43201</xdr:colOff>
      <xdr:row>27</xdr:row>
      <xdr:rowOff>138957</xdr:rowOff>
    </xdr:to>
    <xdr:sp macro="" textlink="">
      <xdr:nvSpPr>
        <xdr:cNvPr id="73" name="Rectangle: Rounded Corners 72">
          <a:extLst>
            <a:ext uri="{FF2B5EF4-FFF2-40B4-BE49-F238E27FC236}">
              <a16:creationId xmlns:a16="http://schemas.microsoft.com/office/drawing/2014/main" id="{4B4ED597-B743-8C08-7668-BBF7DDA2F795}"/>
            </a:ext>
          </a:extLst>
        </xdr:cNvPr>
        <xdr:cNvSpPr/>
      </xdr:nvSpPr>
      <xdr:spPr>
        <a:xfrm>
          <a:off x="6290124" y="4634803"/>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184355</xdr:colOff>
      <xdr:row>27</xdr:row>
      <xdr:rowOff>174458</xdr:rowOff>
    </xdr:from>
    <xdr:to>
      <xdr:col>12</xdr:col>
      <xdr:colOff>43201</xdr:colOff>
      <xdr:row>29</xdr:row>
      <xdr:rowOff>74766</xdr:rowOff>
    </xdr:to>
    <xdr:sp macro="" textlink="">
      <xdr:nvSpPr>
        <xdr:cNvPr id="74" name="Rectangle: Rounded Corners 73">
          <a:extLst>
            <a:ext uri="{FF2B5EF4-FFF2-40B4-BE49-F238E27FC236}">
              <a16:creationId xmlns:a16="http://schemas.microsoft.com/office/drawing/2014/main" id="{83BBF2AA-0F6C-0ADE-3571-7C9FE21D5821}"/>
            </a:ext>
          </a:extLst>
        </xdr:cNvPr>
        <xdr:cNvSpPr/>
      </xdr:nvSpPr>
      <xdr:spPr>
        <a:xfrm>
          <a:off x="6290124" y="4922304"/>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184355</xdr:colOff>
      <xdr:row>29</xdr:row>
      <xdr:rowOff>110267</xdr:rowOff>
    </xdr:from>
    <xdr:to>
      <xdr:col>12</xdr:col>
      <xdr:colOff>43201</xdr:colOff>
      <xdr:row>31</xdr:row>
      <xdr:rowOff>10574</xdr:rowOff>
    </xdr:to>
    <xdr:sp macro="" textlink="">
      <xdr:nvSpPr>
        <xdr:cNvPr id="75" name="Rectangle: Rounded Corners 74">
          <a:extLst>
            <a:ext uri="{FF2B5EF4-FFF2-40B4-BE49-F238E27FC236}">
              <a16:creationId xmlns:a16="http://schemas.microsoft.com/office/drawing/2014/main" id="{470F9E8A-E91A-D5A2-DB2F-2C24EB34118A}"/>
            </a:ext>
          </a:extLst>
        </xdr:cNvPr>
        <xdr:cNvSpPr/>
      </xdr:nvSpPr>
      <xdr:spPr>
        <a:xfrm>
          <a:off x="6290124" y="5209805"/>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184355</xdr:colOff>
      <xdr:row>31</xdr:row>
      <xdr:rowOff>46075</xdr:rowOff>
    </xdr:from>
    <xdr:to>
      <xdr:col>12</xdr:col>
      <xdr:colOff>43201</xdr:colOff>
      <xdr:row>32</xdr:row>
      <xdr:rowOff>122229</xdr:rowOff>
    </xdr:to>
    <xdr:sp macro="" textlink="">
      <xdr:nvSpPr>
        <xdr:cNvPr id="85" name="Rectangle: Rounded Corners 84">
          <a:extLst>
            <a:ext uri="{FF2B5EF4-FFF2-40B4-BE49-F238E27FC236}">
              <a16:creationId xmlns:a16="http://schemas.microsoft.com/office/drawing/2014/main" id="{27D47FD7-BCC2-F538-4D9E-C0F19911721F}"/>
            </a:ext>
          </a:extLst>
        </xdr:cNvPr>
        <xdr:cNvSpPr/>
      </xdr:nvSpPr>
      <xdr:spPr>
        <a:xfrm>
          <a:off x="6290124" y="5497306"/>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184355</xdr:colOff>
      <xdr:row>32</xdr:row>
      <xdr:rowOff>157729</xdr:rowOff>
    </xdr:from>
    <xdr:to>
      <xdr:col>12</xdr:col>
      <xdr:colOff>43201</xdr:colOff>
      <xdr:row>34</xdr:row>
      <xdr:rowOff>58037</xdr:rowOff>
    </xdr:to>
    <xdr:sp macro="" textlink="">
      <xdr:nvSpPr>
        <xdr:cNvPr id="86" name="Rectangle: Rounded Corners 85">
          <a:extLst>
            <a:ext uri="{FF2B5EF4-FFF2-40B4-BE49-F238E27FC236}">
              <a16:creationId xmlns:a16="http://schemas.microsoft.com/office/drawing/2014/main" id="{C6472633-31A8-FED6-8320-0B9330DF10FC}"/>
            </a:ext>
          </a:extLst>
        </xdr:cNvPr>
        <xdr:cNvSpPr/>
      </xdr:nvSpPr>
      <xdr:spPr>
        <a:xfrm>
          <a:off x="6290124" y="5784806"/>
          <a:ext cx="1080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198693</xdr:colOff>
      <xdr:row>26</xdr:row>
      <xdr:rowOff>75057</xdr:rowOff>
    </xdr:from>
    <xdr:to>
      <xdr:col>12</xdr:col>
      <xdr:colOff>57539</xdr:colOff>
      <xdr:row>28</xdr:row>
      <xdr:rowOff>32801</xdr:rowOff>
    </xdr:to>
    <xdr:sp macro="" textlink="'Pivot Table'!F18">
      <xdr:nvSpPr>
        <xdr:cNvPr id="50" name="TextBox 49">
          <a:extLst>
            <a:ext uri="{FF2B5EF4-FFF2-40B4-BE49-F238E27FC236}">
              <a16:creationId xmlns:a16="http://schemas.microsoft.com/office/drawing/2014/main" id="{20D2C4EE-F086-3B24-FDEF-8335E07313AD}"/>
            </a:ext>
          </a:extLst>
        </xdr:cNvPr>
        <xdr:cNvSpPr txBox="1"/>
      </xdr:nvSpPr>
      <xdr:spPr>
        <a:xfrm>
          <a:off x="6303605" y="4593583"/>
          <a:ext cx="1079829" cy="30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0673DA-D163-4B12-B64A-BF852C17E5C5}" type="TxLink">
            <a:rPr lang="en-US" sz="1400" b="0" i="0" u="none" strike="noStrike" baseline="0">
              <a:solidFill>
                <a:schemeClr val="bg1"/>
              </a:solidFill>
              <a:latin typeface="Kulim Park"/>
            </a:rPr>
            <a:pPr algn="ctr"/>
            <a:t> 7,31,170 </a:t>
          </a:fld>
          <a:endParaRPr lang="en-IN" sz="1400" baseline="0">
            <a:solidFill>
              <a:schemeClr val="bg1"/>
            </a:solidFill>
          </a:endParaRPr>
        </a:p>
      </xdr:txBody>
    </xdr:sp>
    <xdr:clientData/>
  </xdr:twoCellAnchor>
  <xdr:twoCellAnchor>
    <xdr:from>
      <xdr:col>10</xdr:col>
      <xdr:colOff>198695</xdr:colOff>
      <xdr:row>27</xdr:row>
      <xdr:rowOff>171014</xdr:rowOff>
    </xdr:from>
    <xdr:to>
      <xdr:col>12</xdr:col>
      <xdr:colOff>57541</xdr:colOff>
      <xdr:row>29</xdr:row>
      <xdr:rowOff>128758</xdr:rowOff>
    </xdr:to>
    <xdr:sp macro="" textlink="'Pivot Table'!F17">
      <xdr:nvSpPr>
        <xdr:cNvPr id="51" name="TextBox 50">
          <a:extLst>
            <a:ext uri="{FF2B5EF4-FFF2-40B4-BE49-F238E27FC236}">
              <a16:creationId xmlns:a16="http://schemas.microsoft.com/office/drawing/2014/main" id="{D65C580B-1BC0-CBE7-A5A5-6E6175DBFEA3}"/>
            </a:ext>
          </a:extLst>
        </xdr:cNvPr>
        <xdr:cNvSpPr txBox="1"/>
      </xdr:nvSpPr>
      <xdr:spPr>
        <a:xfrm>
          <a:off x="6303607" y="4863330"/>
          <a:ext cx="1079829" cy="30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B9C1B-CCF0-45B8-84A3-45744F027D78}" type="TxLink">
            <a:rPr lang="en-US" sz="1400" b="0" i="0" u="none" strike="noStrike" baseline="0">
              <a:solidFill>
                <a:schemeClr val="bg1"/>
              </a:solidFill>
              <a:latin typeface="Kulim Park"/>
            </a:rPr>
            <a:pPr algn="ctr"/>
            <a:t> 9,59,266 </a:t>
          </a:fld>
          <a:endParaRPr lang="en-IN" sz="1400" baseline="0">
            <a:solidFill>
              <a:schemeClr val="bg1"/>
            </a:solidFill>
          </a:endParaRPr>
        </a:p>
      </xdr:txBody>
    </xdr:sp>
    <xdr:clientData/>
  </xdr:twoCellAnchor>
  <xdr:twoCellAnchor>
    <xdr:from>
      <xdr:col>10</xdr:col>
      <xdr:colOff>198695</xdr:colOff>
      <xdr:row>29</xdr:row>
      <xdr:rowOff>91992</xdr:rowOff>
    </xdr:from>
    <xdr:to>
      <xdr:col>12</xdr:col>
      <xdr:colOff>57541</xdr:colOff>
      <xdr:row>31</xdr:row>
      <xdr:rowOff>49735</xdr:rowOff>
    </xdr:to>
    <xdr:sp macro="" textlink="'Pivot Table'!F16">
      <xdr:nvSpPr>
        <xdr:cNvPr id="52" name="TextBox 51">
          <a:extLst>
            <a:ext uri="{FF2B5EF4-FFF2-40B4-BE49-F238E27FC236}">
              <a16:creationId xmlns:a16="http://schemas.microsoft.com/office/drawing/2014/main" id="{18EBB0C6-D40A-AF78-826D-EB83E4BAB87D}"/>
            </a:ext>
          </a:extLst>
        </xdr:cNvPr>
        <xdr:cNvSpPr txBox="1"/>
      </xdr:nvSpPr>
      <xdr:spPr>
        <a:xfrm>
          <a:off x="6303607" y="5131887"/>
          <a:ext cx="1079829" cy="305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8010B2-E1E9-4E5F-B578-5FA13CC0ADDD}" type="TxLink">
            <a:rPr lang="en-US" sz="1400" b="0" i="0" u="none" strike="noStrike" baseline="0">
              <a:solidFill>
                <a:schemeClr val="bg1"/>
              </a:solidFill>
              <a:latin typeface="Kulim Park"/>
            </a:rPr>
            <a:pPr algn="ctr"/>
            <a:t> 6,33,594 </a:t>
          </a:fld>
          <a:endParaRPr lang="en-IN" sz="1400" baseline="0">
            <a:solidFill>
              <a:schemeClr val="bg1"/>
            </a:solidFill>
          </a:endParaRPr>
        </a:p>
      </xdr:txBody>
    </xdr:sp>
    <xdr:clientData/>
  </xdr:twoCellAnchor>
  <xdr:twoCellAnchor>
    <xdr:from>
      <xdr:col>10</xdr:col>
      <xdr:colOff>198695</xdr:colOff>
      <xdr:row>31</xdr:row>
      <xdr:rowOff>11535</xdr:rowOff>
    </xdr:from>
    <xdr:to>
      <xdr:col>12</xdr:col>
      <xdr:colOff>57541</xdr:colOff>
      <xdr:row>32</xdr:row>
      <xdr:rowOff>143069</xdr:rowOff>
    </xdr:to>
    <xdr:sp macro="" textlink="'Pivot Table'!F15">
      <xdr:nvSpPr>
        <xdr:cNvPr id="53" name="TextBox 52">
          <a:extLst>
            <a:ext uri="{FF2B5EF4-FFF2-40B4-BE49-F238E27FC236}">
              <a16:creationId xmlns:a16="http://schemas.microsoft.com/office/drawing/2014/main" id="{A638375A-AE18-9860-14F5-7EA74AD45436}"/>
            </a:ext>
          </a:extLst>
        </xdr:cNvPr>
        <xdr:cNvSpPr txBox="1"/>
      </xdr:nvSpPr>
      <xdr:spPr>
        <a:xfrm>
          <a:off x="6303607" y="5399009"/>
          <a:ext cx="1079829" cy="30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CF0DC3-2488-4E66-81A9-B92B21317CE9}" type="TxLink">
            <a:rPr lang="en-US" sz="1400" b="0" i="0" u="none" strike="noStrike" baseline="0">
              <a:solidFill>
                <a:schemeClr val="bg1"/>
              </a:solidFill>
              <a:latin typeface="Kulim Park"/>
            </a:rPr>
            <a:pPr algn="ctr"/>
            <a:t> 6,13,842 </a:t>
          </a:fld>
          <a:endParaRPr lang="en-IN" sz="1400" baseline="0">
            <a:solidFill>
              <a:schemeClr val="bg1"/>
            </a:solidFill>
          </a:endParaRPr>
        </a:p>
      </xdr:txBody>
    </xdr:sp>
    <xdr:clientData/>
  </xdr:twoCellAnchor>
  <xdr:twoCellAnchor>
    <xdr:from>
      <xdr:col>10</xdr:col>
      <xdr:colOff>198695</xdr:colOff>
      <xdr:row>32</xdr:row>
      <xdr:rowOff>108926</xdr:rowOff>
    </xdr:from>
    <xdr:to>
      <xdr:col>12</xdr:col>
      <xdr:colOff>57541</xdr:colOff>
      <xdr:row>34</xdr:row>
      <xdr:rowOff>66670</xdr:rowOff>
    </xdr:to>
    <xdr:sp macro="" textlink="'Pivot Table'!F14">
      <xdr:nvSpPr>
        <xdr:cNvPr id="54" name="TextBox 53">
          <a:extLst>
            <a:ext uri="{FF2B5EF4-FFF2-40B4-BE49-F238E27FC236}">
              <a16:creationId xmlns:a16="http://schemas.microsoft.com/office/drawing/2014/main" id="{6DC6942B-07AE-1791-58D6-E5A8BD4EA92A}"/>
            </a:ext>
          </a:extLst>
        </xdr:cNvPr>
        <xdr:cNvSpPr txBox="1"/>
      </xdr:nvSpPr>
      <xdr:spPr>
        <a:xfrm>
          <a:off x="6303607" y="5670189"/>
          <a:ext cx="1079829" cy="305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3B91A9-4DE5-4510-84F8-59B09718DE9B}" type="TxLink">
            <a:rPr lang="en-US" sz="1400" b="0" i="0" u="none" strike="noStrike">
              <a:solidFill>
                <a:schemeClr val="bg1"/>
              </a:solidFill>
              <a:latin typeface="Kulim Park"/>
            </a:rPr>
            <a:pPr algn="ctr"/>
            <a:t> 1,67,041 </a:t>
          </a:fld>
          <a:endParaRPr lang="en-IN" sz="1400">
            <a:solidFill>
              <a:schemeClr val="bg1"/>
            </a:solidFill>
          </a:endParaRPr>
        </a:p>
      </xdr:txBody>
    </xdr:sp>
    <xdr:clientData/>
  </xdr:twoCellAnchor>
  <xdr:twoCellAnchor>
    <xdr:from>
      <xdr:col>8</xdr:col>
      <xdr:colOff>313727</xdr:colOff>
      <xdr:row>22</xdr:row>
      <xdr:rowOff>6770</xdr:rowOff>
    </xdr:from>
    <xdr:to>
      <xdr:col>10</xdr:col>
      <xdr:colOff>209438</xdr:colOff>
      <xdr:row>23</xdr:row>
      <xdr:rowOff>124772</xdr:rowOff>
    </xdr:to>
    <xdr:sp macro="" textlink="">
      <xdr:nvSpPr>
        <xdr:cNvPr id="102" name="TextBox 101">
          <a:extLst>
            <a:ext uri="{FF2B5EF4-FFF2-40B4-BE49-F238E27FC236}">
              <a16:creationId xmlns:a16="http://schemas.microsoft.com/office/drawing/2014/main" id="{93C6852A-197E-DC50-C9D6-DC1ECA470EA2}"/>
            </a:ext>
          </a:extLst>
        </xdr:cNvPr>
        <xdr:cNvSpPr txBox="1"/>
      </xdr:nvSpPr>
      <xdr:spPr>
        <a:xfrm>
          <a:off x="5197657" y="3830138"/>
          <a:ext cx="1116693" cy="291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Salaries</a:t>
          </a:r>
        </a:p>
      </xdr:txBody>
    </xdr:sp>
    <xdr:clientData/>
  </xdr:twoCellAnchor>
  <xdr:twoCellAnchor>
    <xdr:from>
      <xdr:col>8</xdr:col>
      <xdr:colOff>310162</xdr:colOff>
      <xdr:row>23</xdr:row>
      <xdr:rowOff>38853</xdr:rowOff>
    </xdr:from>
    <xdr:to>
      <xdr:col>12</xdr:col>
      <xdr:colOff>31192</xdr:colOff>
      <xdr:row>24</xdr:row>
      <xdr:rowOff>81064</xdr:rowOff>
    </xdr:to>
    <xdr:sp macro="" textlink="">
      <xdr:nvSpPr>
        <xdr:cNvPr id="103" name="TextBox 102">
          <a:extLst>
            <a:ext uri="{FF2B5EF4-FFF2-40B4-BE49-F238E27FC236}">
              <a16:creationId xmlns:a16="http://schemas.microsoft.com/office/drawing/2014/main" id="{189AEC14-F07D-55A9-752F-0B594F0CB55B}"/>
            </a:ext>
          </a:extLst>
        </xdr:cNvPr>
        <xdr:cNvSpPr txBox="1"/>
      </xdr:nvSpPr>
      <xdr:spPr>
        <a:xfrm>
          <a:off x="5194092" y="4036011"/>
          <a:ext cx="2162995"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baseline="0">
              <a:solidFill>
                <a:schemeClr val="tx1">
                  <a:lumMod val="50000"/>
                  <a:lumOff val="50000"/>
                </a:schemeClr>
              </a:solidFill>
            </a:rPr>
            <a:t>Salary amount by job titles</a:t>
          </a:r>
        </a:p>
      </xdr:txBody>
    </xdr:sp>
    <xdr:clientData/>
  </xdr:twoCellAnchor>
  <xdr:twoCellAnchor>
    <xdr:from>
      <xdr:col>12</xdr:col>
      <xdr:colOff>552612</xdr:colOff>
      <xdr:row>19</xdr:row>
      <xdr:rowOff>50832</xdr:rowOff>
    </xdr:from>
    <xdr:to>
      <xdr:col>16</xdr:col>
      <xdr:colOff>432816</xdr:colOff>
      <xdr:row>20</xdr:row>
      <xdr:rowOff>171829</xdr:rowOff>
    </xdr:to>
    <xdr:sp macro="" textlink="">
      <xdr:nvSpPr>
        <xdr:cNvPr id="104" name="TextBox 103">
          <a:extLst>
            <a:ext uri="{FF2B5EF4-FFF2-40B4-BE49-F238E27FC236}">
              <a16:creationId xmlns:a16="http://schemas.microsoft.com/office/drawing/2014/main" id="{F56076FD-FFF1-AB8D-3D87-3CFC6A72C73F}"/>
            </a:ext>
          </a:extLst>
        </xdr:cNvPr>
        <xdr:cNvSpPr txBox="1"/>
      </xdr:nvSpPr>
      <xdr:spPr>
        <a:xfrm>
          <a:off x="7867812" y="3409728"/>
          <a:ext cx="2318604" cy="297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Emplloyments Status Breakdown</a:t>
          </a:r>
        </a:p>
      </xdr:txBody>
    </xdr:sp>
    <xdr:clientData/>
  </xdr:twoCellAnchor>
  <xdr:twoCellAnchor>
    <xdr:from>
      <xdr:col>12</xdr:col>
      <xdr:colOff>400874</xdr:colOff>
      <xdr:row>21</xdr:row>
      <xdr:rowOff>20228</xdr:rowOff>
    </xdr:from>
    <xdr:to>
      <xdr:col>14</xdr:col>
      <xdr:colOff>267069</xdr:colOff>
      <xdr:row>27</xdr:row>
      <xdr:rowOff>48263</xdr:rowOff>
    </xdr:to>
    <xdr:graphicFrame macro="">
      <xdr:nvGraphicFramePr>
        <xdr:cNvPr id="106" name="Chart 105">
          <a:extLst>
            <a:ext uri="{FF2B5EF4-FFF2-40B4-BE49-F238E27FC236}">
              <a16:creationId xmlns:a16="http://schemas.microsoft.com/office/drawing/2014/main" id="{7ED9495E-E445-4D9E-A73A-4692CF2D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168585</xdr:colOff>
      <xdr:row>21</xdr:row>
      <xdr:rowOff>60691</xdr:rowOff>
    </xdr:from>
    <xdr:to>
      <xdr:col>16</xdr:col>
      <xdr:colOff>377629</xdr:colOff>
      <xdr:row>22</xdr:row>
      <xdr:rowOff>101363</xdr:rowOff>
    </xdr:to>
    <xdr:sp macro="" textlink="">
      <xdr:nvSpPr>
        <xdr:cNvPr id="107" name="Oval 106">
          <a:extLst>
            <a:ext uri="{FF2B5EF4-FFF2-40B4-BE49-F238E27FC236}">
              <a16:creationId xmlns:a16="http://schemas.microsoft.com/office/drawing/2014/main" id="{6A70BD1F-661E-8A91-6043-2A946A0ABAAF}"/>
            </a:ext>
          </a:extLst>
        </xdr:cNvPr>
        <xdr:cNvSpPr/>
      </xdr:nvSpPr>
      <xdr:spPr>
        <a:xfrm>
          <a:off x="9879027" y="3742567"/>
          <a:ext cx="209044" cy="216000"/>
        </a:xfrm>
        <a:prstGeom prst="ellipse">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206348</xdr:colOff>
      <xdr:row>28</xdr:row>
      <xdr:rowOff>172631</xdr:rowOff>
    </xdr:from>
    <xdr:to>
      <xdr:col>16</xdr:col>
      <xdr:colOff>415392</xdr:colOff>
      <xdr:row>30</xdr:row>
      <xdr:rowOff>37976</xdr:rowOff>
    </xdr:to>
    <xdr:sp macro="" textlink="">
      <xdr:nvSpPr>
        <xdr:cNvPr id="108" name="Oval 107">
          <a:extLst>
            <a:ext uri="{FF2B5EF4-FFF2-40B4-BE49-F238E27FC236}">
              <a16:creationId xmlns:a16="http://schemas.microsoft.com/office/drawing/2014/main" id="{DA5D9332-DA92-0402-C7BA-255662B8666B}"/>
            </a:ext>
          </a:extLst>
        </xdr:cNvPr>
        <xdr:cNvSpPr/>
      </xdr:nvSpPr>
      <xdr:spPr>
        <a:xfrm>
          <a:off x="9916790" y="5081799"/>
          <a:ext cx="209044" cy="216000"/>
        </a:xfrm>
        <a:prstGeom prst="ellipse">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35066</xdr:colOff>
      <xdr:row>28</xdr:row>
      <xdr:rowOff>156447</xdr:rowOff>
    </xdr:from>
    <xdr:to>
      <xdr:col>14</xdr:col>
      <xdr:colOff>244110</xdr:colOff>
      <xdr:row>30</xdr:row>
      <xdr:rowOff>21792</xdr:rowOff>
    </xdr:to>
    <xdr:sp macro="" textlink="">
      <xdr:nvSpPr>
        <xdr:cNvPr id="109" name="Oval 108">
          <a:extLst>
            <a:ext uri="{FF2B5EF4-FFF2-40B4-BE49-F238E27FC236}">
              <a16:creationId xmlns:a16="http://schemas.microsoft.com/office/drawing/2014/main" id="{8C132EC1-46A9-AA29-C954-32FC34AE4D13}"/>
            </a:ext>
          </a:extLst>
        </xdr:cNvPr>
        <xdr:cNvSpPr/>
      </xdr:nvSpPr>
      <xdr:spPr>
        <a:xfrm>
          <a:off x="8531703" y="5065615"/>
          <a:ext cx="209044" cy="216000"/>
        </a:xfrm>
        <a:prstGeom prst="ellipse">
          <a:avLst/>
        </a:prstGeom>
        <a:solidFill>
          <a:srgbClr val="E5B3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60739</xdr:colOff>
      <xdr:row>25</xdr:row>
      <xdr:rowOff>16567</xdr:rowOff>
    </xdr:from>
    <xdr:to>
      <xdr:col>7</xdr:col>
      <xdr:colOff>491435</xdr:colOff>
      <xdr:row>34</xdr:row>
      <xdr:rowOff>115957</xdr:rowOff>
    </xdr:to>
    <xdr:graphicFrame macro="">
      <xdr:nvGraphicFramePr>
        <xdr:cNvPr id="110" name="Chart 109">
          <a:extLst>
            <a:ext uri="{FF2B5EF4-FFF2-40B4-BE49-F238E27FC236}">
              <a16:creationId xmlns:a16="http://schemas.microsoft.com/office/drawing/2014/main" id="{DC99084E-7EB7-47C6-ADB1-2038D15E1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134823</xdr:colOff>
      <xdr:row>21</xdr:row>
      <xdr:rowOff>155368</xdr:rowOff>
    </xdr:from>
    <xdr:to>
      <xdr:col>6</xdr:col>
      <xdr:colOff>30534</xdr:colOff>
      <xdr:row>23</xdr:row>
      <xdr:rowOff>96675</xdr:rowOff>
    </xdr:to>
    <xdr:sp macro="" textlink="">
      <xdr:nvSpPr>
        <xdr:cNvPr id="111" name="TextBox 110">
          <a:extLst>
            <a:ext uri="{FF2B5EF4-FFF2-40B4-BE49-F238E27FC236}">
              <a16:creationId xmlns:a16="http://schemas.microsoft.com/office/drawing/2014/main" id="{6F9A0A03-E092-C86E-1B0E-78B7C90F5C2A}"/>
            </a:ext>
          </a:extLst>
        </xdr:cNvPr>
        <xdr:cNvSpPr txBox="1"/>
      </xdr:nvSpPr>
      <xdr:spPr>
        <a:xfrm>
          <a:off x="2569265" y="3792186"/>
          <a:ext cx="1112931" cy="287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Age Range</a:t>
          </a:r>
        </a:p>
      </xdr:txBody>
    </xdr:sp>
    <xdr:clientData/>
  </xdr:twoCellAnchor>
  <xdr:twoCellAnchor>
    <xdr:from>
      <xdr:col>4</xdr:col>
      <xdr:colOff>126310</xdr:colOff>
      <xdr:row>22</xdr:row>
      <xdr:rowOff>169094</xdr:rowOff>
    </xdr:from>
    <xdr:to>
      <xdr:col>7</xdr:col>
      <xdr:colOff>454732</xdr:colOff>
      <xdr:row>25</xdr:row>
      <xdr:rowOff>24741</xdr:rowOff>
    </xdr:to>
    <xdr:sp macro="" textlink="">
      <xdr:nvSpPr>
        <xdr:cNvPr id="112" name="TextBox 111">
          <a:extLst>
            <a:ext uri="{FF2B5EF4-FFF2-40B4-BE49-F238E27FC236}">
              <a16:creationId xmlns:a16="http://schemas.microsoft.com/office/drawing/2014/main" id="{C061FECC-9759-B547-143E-7AE571EDCEC2}"/>
            </a:ext>
          </a:extLst>
        </xdr:cNvPr>
        <xdr:cNvSpPr txBox="1"/>
      </xdr:nvSpPr>
      <xdr:spPr>
        <a:xfrm>
          <a:off x="2560752" y="3979094"/>
          <a:ext cx="2154253" cy="375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baseline="0">
              <a:solidFill>
                <a:schemeClr val="tx1">
                  <a:lumMod val="50000"/>
                  <a:lumOff val="50000"/>
                </a:schemeClr>
              </a:solidFill>
            </a:rPr>
            <a:t>No. of Employees according to Age </a:t>
          </a:r>
        </a:p>
        <a:p>
          <a:r>
            <a:rPr lang="en-IN" sz="900" b="0" baseline="0">
              <a:solidFill>
                <a:schemeClr val="tx1">
                  <a:lumMod val="50000"/>
                  <a:lumOff val="50000"/>
                </a:schemeClr>
              </a:solidFill>
            </a:rPr>
            <a:t>ranges and genders</a:t>
          </a:r>
        </a:p>
      </xdr:txBody>
    </xdr:sp>
    <xdr:clientData/>
  </xdr:twoCellAnchor>
  <xdr:twoCellAnchor>
    <xdr:from>
      <xdr:col>7</xdr:col>
      <xdr:colOff>38125</xdr:colOff>
      <xdr:row>24</xdr:row>
      <xdr:rowOff>53411</xdr:rowOff>
    </xdr:from>
    <xdr:to>
      <xdr:col>7</xdr:col>
      <xdr:colOff>568739</xdr:colOff>
      <xdr:row>25</xdr:row>
      <xdr:rowOff>114235</xdr:rowOff>
    </xdr:to>
    <xdr:sp macro="" textlink="">
      <xdr:nvSpPr>
        <xdr:cNvPr id="113" name="TextBox 112">
          <a:extLst>
            <a:ext uri="{FF2B5EF4-FFF2-40B4-BE49-F238E27FC236}">
              <a16:creationId xmlns:a16="http://schemas.microsoft.com/office/drawing/2014/main" id="{C6238978-88BF-87FB-0F78-B8A3B4C6FB93}"/>
            </a:ext>
          </a:extLst>
        </xdr:cNvPr>
        <xdr:cNvSpPr txBox="1"/>
      </xdr:nvSpPr>
      <xdr:spPr>
        <a:xfrm>
          <a:off x="4298398" y="4209775"/>
          <a:ext cx="530614" cy="23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Males</a:t>
          </a:r>
          <a:endParaRPr lang="en-IN" sz="1100" baseline="0">
            <a:solidFill>
              <a:schemeClr val="bg1"/>
            </a:solidFill>
          </a:endParaRPr>
        </a:p>
      </xdr:txBody>
    </xdr:sp>
    <xdr:clientData/>
  </xdr:twoCellAnchor>
  <xdr:twoCellAnchor>
    <xdr:from>
      <xdr:col>6</xdr:col>
      <xdr:colOff>19348</xdr:colOff>
      <xdr:row>24</xdr:row>
      <xdr:rowOff>46255</xdr:rowOff>
    </xdr:from>
    <xdr:to>
      <xdr:col>7</xdr:col>
      <xdr:colOff>77303</xdr:colOff>
      <xdr:row>25</xdr:row>
      <xdr:rowOff>107079</xdr:rowOff>
    </xdr:to>
    <xdr:sp macro="" textlink="">
      <xdr:nvSpPr>
        <xdr:cNvPr id="114" name="TextBox 113">
          <a:extLst>
            <a:ext uri="{FF2B5EF4-FFF2-40B4-BE49-F238E27FC236}">
              <a16:creationId xmlns:a16="http://schemas.microsoft.com/office/drawing/2014/main" id="{15540C98-C52B-8768-D874-E2C74EF4D377}"/>
            </a:ext>
          </a:extLst>
        </xdr:cNvPr>
        <xdr:cNvSpPr txBox="1"/>
      </xdr:nvSpPr>
      <xdr:spPr>
        <a:xfrm>
          <a:off x="3671010" y="4202619"/>
          <a:ext cx="666566" cy="23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Females</a:t>
          </a:r>
          <a:endParaRPr lang="en-IN" sz="1100" baseline="0">
            <a:solidFill>
              <a:schemeClr val="bg1"/>
            </a:solidFill>
          </a:endParaRPr>
        </a:p>
      </xdr:txBody>
    </xdr:sp>
    <xdr:clientData/>
  </xdr:twoCellAnchor>
  <xdr:twoCellAnchor>
    <xdr:from>
      <xdr:col>5</xdr:col>
      <xdr:colOff>602300</xdr:colOff>
      <xdr:row>24</xdr:row>
      <xdr:rowOff>126267</xdr:rowOff>
    </xdr:from>
    <xdr:to>
      <xdr:col>6</xdr:col>
      <xdr:colOff>88934</xdr:colOff>
      <xdr:row>25</xdr:row>
      <xdr:rowOff>44132</xdr:rowOff>
    </xdr:to>
    <xdr:sp macro="" textlink="">
      <xdr:nvSpPr>
        <xdr:cNvPr id="115" name="Oval 114">
          <a:extLst>
            <a:ext uri="{FF2B5EF4-FFF2-40B4-BE49-F238E27FC236}">
              <a16:creationId xmlns:a16="http://schemas.microsoft.com/office/drawing/2014/main" id="{9C7C1B4A-8D55-0894-16D8-51F06995A9A8}"/>
            </a:ext>
          </a:extLst>
        </xdr:cNvPr>
        <xdr:cNvSpPr/>
      </xdr:nvSpPr>
      <xdr:spPr>
        <a:xfrm>
          <a:off x="3654342" y="4346575"/>
          <a:ext cx="97043" cy="93711"/>
        </a:xfrm>
        <a:prstGeom prst="ellipse">
          <a:avLst/>
        </a:prstGeom>
        <a:solidFill>
          <a:srgbClr val="E5B3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91311</xdr:rowOff>
    </xdr:from>
    <xdr:to>
      <xdr:col>0</xdr:col>
      <xdr:colOff>0</xdr:colOff>
      <xdr:row>21</xdr:row>
      <xdr:rowOff>9176</xdr:rowOff>
    </xdr:to>
    <xdr:sp macro="" textlink="">
      <xdr:nvSpPr>
        <xdr:cNvPr id="116" name="Oval 115">
          <a:extLst>
            <a:ext uri="{FF2B5EF4-FFF2-40B4-BE49-F238E27FC236}">
              <a16:creationId xmlns:a16="http://schemas.microsoft.com/office/drawing/2014/main" id="{9F32EF74-926E-5C77-376D-A59D76FFE1D8}"/>
            </a:ext>
          </a:extLst>
        </xdr:cNvPr>
        <xdr:cNvSpPr/>
      </xdr:nvSpPr>
      <xdr:spPr>
        <a:xfrm>
          <a:off x="0" y="3621813"/>
          <a:ext cx="0" cy="94390"/>
        </a:xfrm>
        <a:prstGeom prst="ellipse">
          <a:avLst/>
        </a:prstGeom>
        <a:solidFill>
          <a:srgbClr val="E5B3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10353</xdr:colOff>
      <xdr:row>24</xdr:row>
      <xdr:rowOff>131563</xdr:rowOff>
    </xdr:from>
    <xdr:to>
      <xdr:col>7</xdr:col>
      <xdr:colOff>105105</xdr:colOff>
      <xdr:row>25</xdr:row>
      <xdr:rowOff>49428</xdr:rowOff>
    </xdr:to>
    <xdr:sp macro="" textlink="">
      <xdr:nvSpPr>
        <xdr:cNvPr id="117" name="Oval 116">
          <a:extLst>
            <a:ext uri="{FF2B5EF4-FFF2-40B4-BE49-F238E27FC236}">
              <a16:creationId xmlns:a16="http://schemas.microsoft.com/office/drawing/2014/main" id="{A4F2E050-E6CA-2A4C-F649-D1D88BC974CB}"/>
            </a:ext>
          </a:extLst>
        </xdr:cNvPr>
        <xdr:cNvSpPr/>
      </xdr:nvSpPr>
      <xdr:spPr>
        <a:xfrm>
          <a:off x="4283212" y="4351871"/>
          <a:ext cx="94752" cy="93711"/>
        </a:xfrm>
        <a:prstGeom prst="ellipse">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356325</xdr:colOff>
      <xdr:row>27</xdr:row>
      <xdr:rowOff>74198</xdr:rowOff>
    </xdr:from>
    <xdr:to>
      <xdr:col>2</xdr:col>
      <xdr:colOff>85715</xdr:colOff>
      <xdr:row>29</xdr:row>
      <xdr:rowOff>26585</xdr:rowOff>
    </xdr:to>
    <xdr:sp macro="" textlink="">
      <xdr:nvSpPr>
        <xdr:cNvPr id="121" name="TextBox 120">
          <a:extLst>
            <a:ext uri="{FF2B5EF4-FFF2-40B4-BE49-F238E27FC236}">
              <a16:creationId xmlns:a16="http://schemas.microsoft.com/office/drawing/2014/main" id="{1F9863AC-3D79-3BC1-213F-95B2E3C0AE78}"/>
            </a:ext>
          </a:extLst>
        </xdr:cNvPr>
        <xdr:cNvSpPr txBox="1"/>
      </xdr:nvSpPr>
      <xdr:spPr>
        <a:xfrm>
          <a:off x="356325" y="4879804"/>
          <a:ext cx="953040" cy="308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Branch Office</a:t>
          </a:r>
        </a:p>
      </xdr:txBody>
    </xdr:sp>
    <xdr:clientData/>
  </xdr:twoCellAnchor>
  <xdr:twoCellAnchor>
    <xdr:from>
      <xdr:col>0</xdr:col>
      <xdr:colOff>356325</xdr:colOff>
      <xdr:row>29</xdr:row>
      <xdr:rowOff>140001</xdr:rowOff>
    </xdr:from>
    <xdr:to>
      <xdr:col>2</xdr:col>
      <xdr:colOff>160786</xdr:colOff>
      <xdr:row>31</xdr:row>
      <xdr:rowOff>91198</xdr:rowOff>
    </xdr:to>
    <xdr:sp macro="" textlink="">
      <xdr:nvSpPr>
        <xdr:cNvPr id="122" name="TextBox 121">
          <a:extLst>
            <a:ext uri="{FF2B5EF4-FFF2-40B4-BE49-F238E27FC236}">
              <a16:creationId xmlns:a16="http://schemas.microsoft.com/office/drawing/2014/main" id="{54CC1788-1A37-EC26-7091-CCECC8AAADF9}"/>
            </a:ext>
          </a:extLst>
        </xdr:cNvPr>
        <xdr:cNvSpPr txBox="1"/>
      </xdr:nvSpPr>
      <xdr:spPr>
        <a:xfrm>
          <a:off x="356325" y="5301578"/>
          <a:ext cx="1028111" cy="30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Head Office</a:t>
          </a:r>
          <a:endParaRPr lang="en-IN" sz="1100" baseline="0">
            <a:solidFill>
              <a:schemeClr val="bg1"/>
            </a:solidFill>
          </a:endParaRPr>
        </a:p>
      </xdr:txBody>
    </xdr:sp>
    <xdr:clientData/>
  </xdr:twoCellAnchor>
  <xdr:twoCellAnchor>
    <xdr:from>
      <xdr:col>0</xdr:col>
      <xdr:colOff>356325</xdr:colOff>
      <xdr:row>32</xdr:row>
      <xdr:rowOff>30442</xdr:rowOff>
    </xdr:from>
    <xdr:to>
      <xdr:col>2</xdr:col>
      <xdr:colOff>108176</xdr:colOff>
      <xdr:row>33</xdr:row>
      <xdr:rowOff>152792</xdr:rowOff>
    </xdr:to>
    <xdr:sp macro="" textlink="">
      <xdr:nvSpPr>
        <xdr:cNvPr id="123" name="TextBox 122">
          <a:extLst>
            <a:ext uri="{FF2B5EF4-FFF2-40B4-BE49-F238E27FC236}">
              <a16:creationId xmlns:a16="http://schemas.microsoft.com/office/drawing/2014/main" id="{9DB4F819-919B-5963-F5F0-EA9031222EA2}"/>
            </a:ext>
          </a:extLst>
        </xdr:cNvPr>
        <xdr:cNvSpPr txBox="1"/>
      </xdr:nvSpPr>
      <xdr:spPr>
        <a:xfrm>
          <a:off x="356325" y="5725975"/>
          <a:ext cx="975501" cy="300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Remote</a:t>
          </a:r>
          <a:endParaRPr lang="en-IN" sz="1100" baseline="0">
            <a:solidFill>
              <a:schemeClr val="bg1"/>
            </a:solidFill>
          </a:endParaRPr>
        </a:p>
      </xdr:txBody>
    </xdr:sp>
    <xdr:clientData/>
  </xdr:twoCellAnchor>
  <xdr:twoCellAnchor>
    <xdr:from>
      <xdr:col>0</xdr:col>
      <xdr:colOff>312226</xdr:colOff>
      <xdr:row>27</xdr:row>
      <xdr:rowOff>108704</xdr:rowOff>
    </xdr:from>
    <xdr:to>
      <xdr:col>2</xdr:col>
      <xdr:colOff>533026</xdr:colOff>
      <xdr:row>30</xdr:row>
      <xdr:rowOff>162190</xdr:rowOff>
    </xdr:to>
    <xdr:graphicFrame macro="">
      <xdr:nvGraphicFramePr>
        <xdr:cNvPr id="124" name="Chart 123">
          <a:extLst>
            <a:ext uri="{FF2B5EF4-FFF2-40B4-BE49-F238E27FC236}">
              <a16:creationId xmlns:a16="http://schemas.microsoft.com/office/drawing/2014/main" id="{841AF0FD-D692-E2BF-CB05-FE3362A9F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316100</xdr:colOff>
      <xdr:row>29</xdr:row>
      <xdr:rowOff>170273</xdr:rowOff>
    </xdr:from>
    <xdr:to>
      <xdr:col>2</xdr:col>
      <xdr:colOff>536900</xdr:colOff>
      <xdr:row>33</xdr:row>
      <xdr:rowOff>49587</xdr:rowOff>
    </xdr:to>
    <xdr:graphicFrame macro="">
      <xdr:nvGraphicFramePr>
        <xdr:cNvPr id="125" name="Chart 124">
          <a:extLst>
            <a:ext uri="{FF2B5EF4-FFF2-40B4-BE49-F238E27FC236}">
              <a16:creationId xmlns:a16="http://schemas.microsoft.com/office/drawing/2014/main" id="{3FFACF69-9C11-4E03-C872-50267675C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316100</xdr:colOff>
      <xdr:row>32</xdr:row>
      <xdr:rowOff>46974</xdr:rowOff>
    </xdr:from>
    <xdr:to>
      <xdr:col>2</xdr:col>
      <xdr:colOff>536900</xdr:colOff>
      <xdr:row>35</xdr:row>
      <xdr:rowOff>100460</xdr:rowOff>
    </xdr:to>
    <xdr:graphicFrame macro="">
      <xdr:nvGraphicFramePr>
        <xdr:cNvPr id="126" name="Chart 125">
          <a:extLst>
            <a:ext uri="{FF2B5EF4-FFF2-40B4-BE49-F238E27FC236}">
              <a16:creationId xmlns:a16="http://schemas.microsoft.com/office/drawing/2014/main" id="{EAE93F93-0D79-C172-CC23-D6FEDBC32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414769</xdr:colOff>
      <xdr:row>28</xdr:row>
      <xdr:rowOff>70862</xdr:rowOff>
    </xdr:from>
    <xdr:to>
      <xdr:col>3</xdr:col>
      <xdr:colOff>257908</xdr:colOff>
      <xdr:row>30</xdr:row>
      <xdr:rowOff>23249</xdr:rowOff>
    </xdr:to>
    <xdr:sp macro="" textlink="'Pivot Table'!N17">
      <xdr:nvSpPr>
        <xdr:cNvPr id="127" name="TextBox 126">
          <a:extLst>
            <a:ext uri="{FF2B5EF4-FFF2-40B4-BE49-F238E27FC236}">
              <a16:creationId xmlns:a16="http://schemas.microsoft.com/office/drawing/2014/main" id="{E0CAB32F-23F7-0E04-46FD-2BBF6D608728}"/>
            </a:ext>
          </a:extLst>
        </xdr:cNvPr>
        <xdr:cNvSpPr txBox="1"/>
      </xdr:nvSpPr>
      <xdr:spPr>
        <a:xfrm>
          <a:off x="1633969" y="4994554"/>
          <a:ext cx="452739" cy="304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2515602-B547-4193-8A4D-6C52C2FB2886}" type="TxLink">
            <a:rPr lang="en-US" sz="1100" b="1" i="0" u="none" strike="noStrike" baseline="0">
              <a:solidFill>
                <a:schemeClr val="bg1">
                  <a:lumMod val="95000"/>
                </a:schemeClr>
              </a:solidFill>
              <a:latin typeface="Aptos Narrow"/>
            </a:rPr>
            <a:pPr algn="l"/>
            <a:t>46%</a:t>
          </a:fld>
          <a:endParaRPr lang="en-IN" sz="1100" baseline="0">
            <a:solidFill>
              <a:schemeClr val="bg1">
                <a:lumMod val="95000"/>
              </a:schemeClr>
            </a:solidFill>
          </a:endParaRPr>
        </a:p>
      </xdr:txBody>
    </xdr:sp>
    <xdr:clientData/>
  </xdr:twoCellAnchor>
  <xdr:twoCellAnchor>
    <xdr:from>
      <xdr:col>2</xdr:col>
      <xdr:colOff>403047</xdr:colOff>
      <xdr:row>30</xdr:row>
      <xdr:rowOff>136665</xdr:rowOff>
    </xdr:from>
    <xdr:to>
      <xdr:col>3</xdr:col>
      <xdr:colOff>233607</xdr:colOff>
      <xdr:row>32</xdr:row>
      <xdr:rowOff>87861</xdr:rowOff>
    </xdr:to>
    <xdr:sp macro="" textlink="'Pivot Table'!N18">
      <xdr:nvSpPr>
        <xdr:cNvPr id="128" name="TextBox 127">
          <a:extLst>
            <a:ext uri="{FF2B5EF4-FFF2-40B4-BE49-F238E27FC236}">
              <a16:creationId xmlns:a16="http://schemas.microsoft.com/office/drawing/2014/main" id="{95C927EB-0ED0-FC9B-DB2A-CA517425AB5D}"/>
            </a:ext>
          </a:extLst>
        </xdr:cNvPr>
        <xdr:cNvSpPr txBox="1"/>
      </xdr:nvSpPr>
      <xdr:spPr>
        <a:xfrm>
          <a:off x="1626697" y="5476227"/>
          <a:ext cx="442384" cy="307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7943E24-9C9C-47FB-BDC0-3586316DF534}" type="TxLink">
            <a:rPr lang="en-US" sz="1100" b="1" i="0" u="none" strike="noStrike" baseline="0">
              <a:solidFill>
                <a:schemeClr val="bg1">
                  <a:lumMod val="95000"/>
                </a:schemeClr>
              </a:solidFill>
              <a:latin typeface="Aptos Narrow"/>
            </a:rPr>
            <a:pPr algn="l"/>
            <a:t>16%</a:t>
          </a:fld>
          <a:endParaRPr lang="en-IN" sz="1100" baseline="0">
            <a:solidFill>
              <a:schemeClr val="bg1">
                <a:lumMod val="95000"/>
              </a:schemeClr>
            </a:solidFill>
          </a:endParaRPr>
        </a:p>
      </xdr:txBody>
    </xdr:sp>
    <xdr:clientData/>
  </xdr:twoCellAnchor>
  <xdr:twoCellAnchor>
    <xdr:from>
      <xdr:col>2</xdr:col>
      <xdr:colOff>403046</xdr:colOff>
      <xdr:row>33</xdr:row>
      <xdr:rowOff>27106</xdr:rowOff>
    </xdr:from>
    <xdr:to>
      <xdr:col>3</xdr:col>
      <xdr:colOff>272541</xdr:colOff>
      <xdr:row>34</xdr:row>
      <xdr:rowOff>149455</xdr:rowOff>
    </xdr:to>
    <xdr:sp macro="" textlink="'Pivot Table'!N19">
      <xdr:nvSpPr>
        <xdr:cNvPr id="129" name="TextBox 128">
          <a:extLst>
            <a:ext uri="{FF2B5EF4-FFF2-40B4-BE49-F238E27FC236}">
              <a16:creationId xmlns:a16="http://schemas.microsoft.com/office/drawing/2014/main" id="{75B8FDD7-43CA-2A30-7391-552041AB02A6}"/>
            </a:ext>
          </a:extLst>
        </xdr:cNvPr>
        <xdr:cNvSpPr txBox="1"/>
      </xdr:nvSpPr>
      <xdr:spPr>
        <a:xfrm>
          <a:off x="1626696" y="5900624"/>
          <a:ext cx="481319" cy="300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BA3720E-729E-4F57-8B7B-3C07D6A8545B}" type="TxLink">
            <a:rPr lang="en-US" sz="1100" b="1" i="0" u="none" strike="noStrike" baseline="0">
              <a:solidFill>
                <a:schemeClr val="bg1">
                  <a:lumMod val="95000"/>
                </a:schemeClr>
              </a:solidFill>
              <a:latin typeface="Aptos Narrow"/>
            </a:rPr>
            <a:pPr algn="l"/>
            <a:t>38%</a:t>
          </a:fld>
          <a:endParaRPr lang="en-IN" sz="1100" baseline="0">
            <a:solidFill>
              <a:schemeClr val="bg1">
                <a:lumMod val="95000"/>
              </a:schemeClr>
            </a:solidFill>
          </a:endParaRPr>
        </a:p>
      </xdr:txBody>
    </xdr:sp>
    <xdr:clientData/>
  </xdr:twoCellAnchor>
  <xdr:twoCellAnchor>
    <xdr:from>
      <xdr:col>0</xdr:col>
      <xdr:colOff>402405</xdr:colOff>
      <xdr:row>24</xdr:row>
      <xdr:rowOff>135343</xdr:rowOff>
    </xdr:from>
    <xdr:to>
      <xdr:col>2</xdr:col>
      <xdr:colOff>298116</xdr:colOff>
      <xdr:row>26</xdr:row>
      <xdr:rowOff>76651</xdr:rowOff>
    </xdr:to>
    <xdr:sp macro="" textlink="">
      <xdr:nvSpPr>
        <xdr:cNvPr id="130" name="TextBox 129">
          <a:extLst>
            <a:ext uri="{FF2B5EF4-FFF2-40B4-BE49-F238E27FC236}">
              <a16:creationId xmlns:a16="http://schemas.microsoft.com/office/drawing/2014/main" id="{82ED854E-685E-A243-A387-1DD710D51735}"/>
            </a:ext>
          </a:extLst>
        </xdr:cNvPr>
        <xdr:cNvSpPr txBox="1"/>
      </xdr:nvSpPr>
      <xdr:spPr>
        <a:xfrm>
          <a:off x="402405" y="4326343"/>
          <a:ext cx="1112794" cy="29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Work Location</a:t>
          </a:r>
        </a:p>
      </xdr:txBody>
    </xdr:sp>
    <xdr:clientData/>
  </xdr:twoCellAnchor>
  <xdr:twoCellAnchor>
    <xdr:from>
      <xdr:col>0</xdr:col>
      <xdr:colOff>393892</xdr:colOff>
      <xdr:row>25</xdr:row>
      <xdr:rowOff>160194</xdr:rowOff>
    </xdr:from>
    <xdr:to>
      <xdr:col>4</xdr:col>
      <xdr:colOff>110490</xdr:colOff>
      <xdr:row>27</xdr:row>
      <xdr:rowOff>66744</xdr:rowOff>
    </xdr:to>
    <xdr:sp macro="" textlink="">
      <xdr:nvSpPr>
        <xdr:cNvPr id="131" name="TextBox 130">
          <a:extLst>
            <a:ext uri="{FF2B5EF4-FFF2-40B4-BE49-F238E27FC236}">
              <a16:creationId xmlns:a16="http://schemas.microsoft.com/office/drawing/2014/main" id="{E71F832C-C41B-7C0F-DB75-AF1EFAD40D96}"/>
            </a:ext>
          </a:extLst>
        </xdr:cNvPr>
        <xdr:cNvSpPr txBox="1"/>
      </xdr:nvSpPr>
      <xdr:spPr>
        <a:xfrm>
          <a:off x="393892" y="4525819"/>
          <a:ext cx="2150765" cy="25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baseline="0">
              <a:solidFill>
                <a:schemeClr val="tx1">
                  <a:lumMod val="50000"/>
                  <a:lumOff val="50000"/>
                </a:schemeClr>
              </a:solidFill>
            </a:rPr>
            <a:t>Employee to Workplace</a:t>
          </a:r>
        </a:p>
      </xdr:txBody>
    </xdr:sp>
    <xdr:clientData/>
  </xdr:twoCellAnchor>
  <xdr:twoCellAnchor>
    <xdr:from>
      <xdr:col>0</xdr:col>
      <xdr:colOff>301155</xdr:colOff>
      <xdr:row>14</xdr:row>
      <xdr:rowOff>121533</xdr:rowOff>
    </xdr:from>
    <xdr:to>
      <xdr:col>2</xdr:col>
      <xdr:colOff>171450</xdr:colOff>
      <xdr:row>16</xdr:row>
      <xdr:rowOff>70360</xdr:rowOff>
    </xdr:to>
    <xdr:sp macro="" textlink="">
      <xdr:nvSpPr>
        <xdr:cNvPr id="14" name="TextBox 13">
          <a:extLst>
            <a:ext uri="{FF2B5EF4-FFF2-40B4-BE49-F238E27FC236}">
              <a16:creationId xmlns:a16="http://schemas.microsoft.com/office/drawing/2014/main" id="{33115210-98EB-E659-E89C-729AADE58F71}"/>
            </a:ext>
          </a:extLst>
        </xdr:cNvPr>
        <xdr:cNvSpPr txBox="1"/>
      </xdr:nvSpPr>
      <xdr:spPr>
        <a:xfrm>
          <a:off x="301155" y="2588508"/>
          <a:ext cx="1089495" cy="30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bg1"/>
              </a:solidFill>
            </a:rPr>
            <a:t>Communication</a:t>
          </a:r>
        </a:p>
      </xdr:txBody>
    </xdr:sp>
    <xdr:clientData/>
  </xdr:twoCellAnchor>
  <xdr:twoCellAnchor>
    <xdr:from>
      <xdr:col>0</xdr:col>
      <xdr:colOff>301155</xdr:colOff>
      <xdr:row>16</xdr:row>
      <xdr:rowOff>43158</xdr:rowOff>
    </xdr:from>
    <xdr:to>
      <xdr:col>2</xdr:col>
      <xdr:colOff>105616</xdr:colOff>
      <xdr:row>17</xdr:row>
      <xdr:rowOff>166882</xdr:rowOff>
    </xdr:to>
    <xdr:sp macro="" textlink="">
      <xdr:nvSpPr>
        <xdr:cNvPr id="18" name="TextBox 17">
          <a:extLst>
            <a:ext uri="{FF2B5EF4-FFF2-40B4-BE49-F238E27FC236}">
              <a16:creationId xmlns:a16="http://schemas.microsoft.com/office/drawing/2014/main" id="{CCD615F0-96F7-CE2E-71CC-28DA3DB92C89}"/>
            </a:ext>
          </a:extLst>
        </xdr:cNvPr>
        <xdr:cNvSpPr txBox="1"/>
      </xdr:nvSpPr>
      <xdr:spPr>
        <a:xfrm>
          <a:off x="301155" y="2862558"/>
          <a:ext cx="1023661" cy="299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Design</a:t>
          </a:r>
          <a:endParaRPr lang="en-IN" sz="1100" baseline="0">
            <a:solidFill>
              <a:schemeClr val="bg1"/>
            </a:solidFill>
          </a:endParaRPr>
        </a:p>
      </xdr:txBody>
    </xdr:sp>
    <xdr:clientData/>
  </xdr:twoCellAnchor>
  <xdr:twoCellAnchor>
    <xdr:from>
      <xdr:col>0</xdr:col>
      <xdr:colOff>301155</xdr:colOff>
      <xdr:row>17</xdr:row>
      <xdr:rowOff>139680</xdr:rowOff>
    </xdr:from>
    <xdr:to>
      <xdr:col>2</xdr:col>
      <xdr:colOff>53006</xdr:colOff>
      <xdr:row>19</xdr:row>
      <xdr:rowOff>88505</xdr:rowOff>
    </xdr:to>
    <xdr:sp macro="" textlink="">
      <xdr:nvSpPr>
        <xdr:cNvPr id="19" name="TextBox 18">
          <a:extLst>
            <a:ext uri="{FF2B5EF4-FFF2-40B4-BE49-F238E27FC236}">
              <a16:creationId xmlns:a16="http://schemas.microsoft.com/office/drawing/2014/main" id="{91A193CD-9D3B-5E5E-5589-E8C32B3B0ACA}"/>
            </a:ext>
          </a:extLst>
        </xdr:cNvPr>
        <xdr:cNvSpPr txBox="1"/>
      </xdr:nvSpPr>
      <xdr:spPr>
        <a:xfrm>
          <a:off x="301155" y="3135293"/>
          <a:ext cx="971051" cy="30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Excel</a:t>
          </a:r>
          <a:endParaRPr lang="en-IN" sz="1100" baseline="0">
            <a:solidFill>
              <a:schemeClr val="bg1"/>
            </a:solidFill>
          </a:endParaRPr>
        </a:p>
      </xdr:txBody>
    </xdr:sp>
    <xdr:clientData/>
  </xdr:twoCellAnchor>
  <xdr:twoCellAnchor>
    <xdr:from>
      <xdr:col>0</xdr:col>
      <xdr:colOff>301155</xdr:colOff>
      <xdr:row>19</xdr:row>
      <xdr:rowOff>61303</xdr:rowOff>
    </xdr:from>
    <xdr:to>
      <xdr:col>2</xdr:col>
      <xdr:colOff>53006</xdr:colOff>
      <xdr:row>21</xdr:row>
      <xdr:rowOff>6392</xdr:rowOff>
    </xdr:to>
    <xdr:sp macro="" textlink="">
      <xdr:nvSpPr>
        <xdr:cNvPr id="20" name="TextBox 19">
          <a:extLst>
            <a:ext uri="{FF2B5EF4-FFF2-40B4-BE49-F238E27FC236}">
              <a16:creationId xmlns:a16="http://schemas.microsoft.com/office/drawing/2014/main" id="{B10BC522-1006-4B8F-8695-1B774E0ECA56}"/>
            </a:ext>
          </a:extLst>
        </xdr:cNvPr>
        <xdr:cNvSpPr txBox="1"/>
      </xdr:nvSpPr>
      <xdr:spPr>
        <a:xfrm>
          <a:off x="301155" y="3409341"/>
          <a:ext cx="971051" cy="297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Management</a:t>
          </a:r>
          <a:endParaRPr lang="en-IN" sz="1100" baseline="0">
            <a:solidFill>
              <a:schemeClr val="bg1"/>
            </a:solidFill>
          </a:endParaRPr>
        </a:p>
      </xdr:txBody>
    </xdr:sp>
    <xdr:clientData/>
  </xdr:twoCellAnchor>
  <xdr:twoCellAnchor>
    <xdr:from>
      <xdr:col>0</xdr:col>
      <xdr:colOff>301155</xdr:colOff>
      <xdr:row>20</xdr:row>
      <xdr:rowOff>155402</xdr:rowOff>
    </xdr:from>
    <xdr:to>
      <xdr:col>2</xdr:col>
      <xdr:colOff>53006</xdr:colOff>
      <xdr:row>22</xdr:row>
      <xdr:rowOff>101098</xdr:rowOff>
    </xdr:to>
    <xdr:sp macro="" textlink="">
      <xdr:nvSpPr>
        <xdr:cNvPr id="21" name="TextBox 20">
          <a:extLst>
            <a:ext uri="{FF2B5EF4-FFF2-40B4-BE49-F238E27FC236}">
              <a16:creationId xmlns:a16="http://schemas.microsoft.com/office/drawing/2014/main" id="{DD5CEA15-F2E2-3529-FCA1-3AD443B9FEF5}"/>
            </a:ext>
          </a:extLst>
        </xdr:cNvPr>
        <xdr:cNvSpPr txBox="1"/>
      </xdr:nvSpPr>
      <xdr:spPr>
        <a:xfrm>
          <a:off x="301155" y="3679652"/>
          <a:ext cx="971051" cy="298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Python</a:t>
          </a:r>
        </a:p>
      </xdr:txBody>
    </xdr:sp>
    <xdr:clientData/>
  </xdr:twoCellAnchor>
  <xdr:twoCellAnchor>
    <xdr:from>
      <xdr:col>2</xdr:col>
      <xdr:colOff>509588</xdr:colOff>
      <xdr:row>14</xdr:row>
      <xdr:rowOff>116770</xdr:rowOff>
    </xdr:from>
    <xdr:to>
      <xdr:col>3</xdr:col>
      <xdr:colOff>347663</xdr:colOff>
      <xdr:row>16</xdr:row>
      <xdr:rowOff>65597</xdr:rowOff>
    </xdr:to>
    <xdr:sp macro="" textlink="'Pivot Table'!R14">
      <xdr:nvSpPr>
        <xdr:cNvPr id="22" name="TextBox 21">
          <a:extLst>
            <a:ext uri="{FF2B5EF4-FFF2-40B4-BE49-F238E27FC236}">
              <a16:creationId xmlns:a16="http://schemas.microsoft.com/office/drawing/2014/main" id="{456CA716-B00D-1F5A-E5E2-F3E17F5E7E2B}"/>
            </a:ext>
          </a:extLst>
        </xdr:cNvPr>
        <xdr:cNvSpPr txBox="1"/>
      </xdr:nvSpPr>
      <xdr:spPr>
        <a:xfrm>
          <a:off x="1728788" y="2528666"/>
          <a:ext cx="447675" cy="29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48A31E7-8B65-4B29-9858-1BDB306B5535}" type="TxLink">
            <a:rPr lang="en-US" sz="1600" b="1" i="0" u="none" strike="noStrike" baseline="0">
              <a:solidFill>
                <a:srgbClr val="E5B344"/>
              </a:solidFill>
              <a:latin typeface="Aptos Narrow"/>
            </a:rPr>
            <a:pPr algn="r"/>
            <a:t>12</a:t>
          </a:fld>
          <a:endParaRPr lang="en-IN" sz="1600" b="1" baseline="0">
            <a:solidFill>
              <a:srgbClr val="E5B344"/>
            </a:solidFill>
          </a:endParaRPr>
        </a:p>
      </xdr:txBody>
    </xdr:sp>
    <xdr:clientData/>
  </xdr:twoCellAnchor>
  <xdr:twoCellAnchor>
    <xdr:from>
      <xdr:col>2</xdr:col>
      <xdr:colOff>381000</xdr:colOff>
      <xdr:row>16</xdr:row>
      <xdr:rowOff>38395</xdr:rowOff>
    </xdr:from>
    <xdr:to>
      <xdr:col>3</xdr:col>
      <xdr:colOff>347663</xdr:colOff>
      <xdr:row>17</xdr:row>
      <xdr:rowOff>162119</xdr:rowOff>
    </xdr:to>
    <xdr:sp macro="" textlink="'Pivot Table'!R15">
      <xdr:nvSpPr>
        <xdr:cNvPr id="23" name="TextBox 22">
          <a:extLst>
            <a:ext uri="{FF2B5EF4-FFF2-40B4-BE49-F238E27FC236}">
              <a16:creationId xmlns:a16="http://schemas.microsoft.com/office/drawing/2014/main" id="{011548EF-1C28-7159-A9EA-F83E5F4F2581}"/>
            </a:ext>
          </a:extLst>
        </xdr:cNvPr>
        <xdr:cNvSpPr txBox="1"/>
      </xdr:nvSpPr>
      <xdr:spPr>
        <a:xfrm>
          <a:off x="1600200" y="2857795"/>
          <a:ext cx="576263" cy="299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3686454-6E4F-4D56-9F42-63A2B05A00CF}" type="TxLink">
            <a:rPr lang="en-US" sz="1600" b="1" i="0" u="none" strike="noStrike" baseline="0">
              <a:solidFill>
                <a:srgbClr val="E5B344"/>
              </a:solidFill>
              <a:latin typeface="Aptos Narrow"/>
              <a:ea typeface="+mn-ea"/>
              <a:cs typeface="+mn-cs"/>
            </a:rPr>
            <a:pPr marL="0" indent="0" algn="r"/>
            <a:t>11</a:t>
          </a:fld>
          <a:endParaRPr lang="en-IN" sz="1600" b="1" i="0" u="none" strike="noStrike" baseline="0">
            <a:solidFill>
              <a:srgbClr val="E5B344"/>
            </a:solidFill>
            <a:latin typeface="Aptos Narrow"/>
            <a:ea typeface="+mn-ea"/>
            <a:cs typeface="+mn-cs"/>
          </a:endParaRPr>
        </a:p>
      </xdr:txBody>
    </xdr:sp>
    <xdr:clientData/>
  </xdr:twoCellAnchor>
  <xdr:twoCellAnchor>
    <xdr:from>
      <xdr:col>2</xdr:col>
      <xdr:colOff>385763</xdr:colOff>
      <xdr:row>17</xdr:row>
      <xdr:rowOff>134917</xdr:rowOff>
    </xdr:from>
    <xdr:to>
      <xdr:col>3</xdr:col>
      <xdr:colOff>347663</xdr:colOff>
      <xdr:row>19</xdr:row>
      <xdr:rowOff>83742</xdr:rowOff>
    </xdr:to>
    <xdr:sp macro="" textlink="'Pivot Table'!R16">
      <xdr:nvSpPr>
        <xdr:cNvPr id="24" name="TextBox 23">
          <a:extLst>
            <a:ext uri="{FF2B5EF4-FFF2-40B4-BE49-F238E27FC236}">
              <a16:creationId xmlns:a16="http://schemas.microsoft.com/office/drawing/2014/main" id="{6906AF15-1A3A-2EF6-428A-4C7EEC01B49E}"/>
            </a:ext>
          </a:extLst>
        </xdr:cNvPr>
        <xdr:cNvSpPr txBox="1"/>
      </xdr:nvSpPr>
      <xdr:spPr>
        <a:xfrm>
          <a:off x="1604963" y="3130530"/>
          <a:ext cx="571500" cy="30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B506B68-E76A-4FC0-BC76-90963A3F227D}" type="TxLink">
            <a:rPr lang="en-US" sz="1600" b="1" i="0" u="none" strike="noStrike" baseline="0">
              <a:solidFill>
                <a:srgbClr val="E5B344"/>
              </a:solidFill>
              <a:latin typeface="Aptos Narrow"/>
            </a:rPr>
            <a:pPr algn="r"/>
            <a:t>7</a:t>
          </a:fld>
          <a:endParaRPr lang="en-IN" sz="1600" b="1" baseline="0">
            <a:solidFill>
              <a:srgbClr val="E5B344"/>
            </a:solidFill>
          </a:endParaRPr>
        </a:p>
      </xdr:txBody>
    </xdr:sp>
    <xdr:clientData/>
  </xdr:twoCellAnchor>
  <xdr:twoCellAnchor>
    <xdr:from>
      <xdr:col>2</xdr:col>
      <xdr:colOff>409575</xdr:colOff>
      <xdr:row>19</xdr:row>
      <xdr:rowOff>56540</xdr:rowOff>
    </xdr:from>
    <xdr:to>
      <xdr:col>3</xdr:col>
      <xdr:colOff>347663</xdr:colOff>
      <xdr:row>21</xdr:row>
      <xdr:rowOff>1629</xdr:rowOff>
    </xdr:to>
    <xdr:sp macro="" textlink="'Pivot Table'!R17">
      <xdr:nvSpPr>
        <xdr:cNvPr id="25" name="TextBox 24">
          <a:extLst>
            <a:ext uri="{FF2B5EF4-FFF2-40B4-BE49-F238E27FC236}">
              <a16:creationId xmlns:a16="http://schemas.microsoft.com/office/drawing/2014/main" id="{19A304C1-E75C-6574-4084-BDEDC2B7FCC1}"/>
            </a:ext>
          </a:extLst>
        </xdr:cNvPr>
        <xdr:cNvSpPr txBox="1"/>
      </xdr:nvSpPr>
      <xdr:spPr>
        <a:xfrm>
          <a:off x="1628775" y="3404578"/>
          <a:ext cx="547688" cy="297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377BA4F-68B9-43C1-96C6-C6B4B538A77D}" type="TxLink">
            <a:rPr lang="en-US" sz="1600" b="1" i="0" u="none" strike="noStrike" baseline="0">
              <a:solidFill>
                <a:srgbClr val="E5B344"/>
              </a:solidFill>
              <a:latin typeface="Aptos Narrow"/>
            </a:rPr>
            <a:pPr algn="r"/>
            <a:t>11</a:t>
          </a:fld>
          <a:endParaRPr lang="en-IN" sz="1600" b="1" baseline="0">
            <a:solidFill>
              <a:srgbClr val="E5B344"/>
            </a:solidFill>
          </a:endParaRPr>
        </a:p>
      </xdr:txBody>
    </xdr:sp>
    <xdr:clientData/>
  </xdr:twoCellAnchor>
  <xdr:twoCellAnchor>
    <xdr:from>
      <xdr:col>2</xdr:col>
      <xdr:colOff>447675</xdr:colOff>
      <xdr:row>20</xdr:row>
      <xdr:rowOff>150639</xdr:rowOff>
    </xdr:from>
    <xdr:to>
      <xdr:col>3</xdr:col>
      <xdr:colOff>347663</xdr:colOff>
      <xdr:row>22</xdr:row>
      <xdr:rowOff>96335</xdr:rowOff>
    </xdr:to>
    <xdr:sp macro="" textlink="'Pivot Table'!R18">
      <xdr:nvSpPr>
        <xdr:cNvPr id="26" name="TextBox 25">
          <a:extLst>
            <a:ext uri="{FF2B5EF4-FFF2-40B4-BE49-F238E27FC236}">
              <a16:creationId xmlns:a16="http://schemas.microsoft.com/office/drawing/2014/main" id="{28DA37DC-5C6F-56C5-E380-80FB683AC957}"/>
            </a:ext>
          </a:extLst>
        </xdr:cNvPr>
        <xdr:cNvSpPr txBox="1"/>
      </xdr:nvSpPr>
      <xdr:spPr>
        <a:xfrm>
          <a:off x="1666875" y="3674889"/>
          <a:ext cx="509588" cy="298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42CEAD0-85CF-40E1-A9D4-55E4AD954E08}" type="TxLink">
            <a:rPr lang="en-US" sz="1600" b="1" i="0" u="none" strike="noStrike">
              <a:solidFill>
                <a:srgbClr val="E5B344"/>
              </a:solidFill>
              <a:latin typeface="Aptos Narrow"/>
            </a:rPr>
            <a:pPr algn="r"/>
            <a:t>9</a:t>
          </a:fld>
          <a:endParaRPr lang="en-IN" sz="1600" b="1">
            <a:solidFill>
              <a:srgbClr val="E5B344"/>
            </a:solidFill>
          </a:endParaRPr>
        </a:p>
      </xdr:txBody>
    </xdr:sp>
    <xdr:clientData/>
  </xdr:twoCellAnchor>
  <xdr:twoCellAnchor>
    <xdr:from>
      <xdr:col>0</xdr:col>
      <xdr:colOff>301154</xdr:colOff>
      <xdr:row>11</xdr:row>
      <xdr:rowOff>25805</xdr:rowOff>
    </xdr:from>
    <xdr:to>
      <xdr:col>2</xdr:col>
      <xdr:colOff>284921</xdr:colOff>
      <xdr:row>14</xdr:row>
      <xdr:rowOff>152400</xdr:rowOff>
    </xdr:to>
    <xdr:sp macro="" textlink="">
      <xdr:nvSpPr>
        <xdr:cNvPr id="27" name="TextBox 26">
          <a:extLst>
            <a:ext uri="{FF2B5EF4-FFF2-40B4-BE49-F238E27FC236}">
              <a16:creationId xmlns:a16="http://schemas.microsoft.com/office/drawing/2014/main" id="{049AE677-D329-A4F1-440E-DDCFDB465FAC}"/>
            </a:ext>
          </a:extLst>
        </xdr:cNvPr>
        <xdr:cNvSpPr txBox="1"/>
      </xdr:nvSpPr>
      <xdr:spPr>
        <a:xfrm>
          <a:off x="301154" y="1920866"/>
          <a:ext cx="1202967" cy="643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E5B344"/>
              </a:solidFill>
            </a:rPr>
            <a:t>Skill</a:t>
          </a:r>
        </a:p>
        <a:p>
          <a:r>
            <a:rPr lang="en-IN" sz="1600" b="1" baseline="0">
              <a:solidFill>
                <a:srgbClr val="E5B344"/>
              </a:solidFill>
            </a:rPr>
            <a:t>BreakDown</a:t>
          </a:r>
        </a:p>
      </xdr:txBody>
    </xdr:sp>
    <xdr:clientData/>
  </xdr:twoCellAnchor>
  <xdr:twoCellAnchor editAs="oneCell">
    <xdr:from>
      <xdr:col>1</xdr:col>
      <xdr:colOff>173694</xdr:colOff>
      <xdr:row>6</xdr:row>
      <xdr:rowOff>122108</xdr:rowOff>
    </xdr:from>
    <xdr:to>
      <xdr:col>2</xdr:col>
      <xdr:colOff>478494</xdr:colOff>
      <xdr:row>11</xdr:row>
      <xdr:rowOff>165651</xdr:rowOff>
    </xdr:to>
    <xdr:pic>
      <xdr:nvPicPr>
        <xdr:cNvPr id="36" name="Graphic 35" descr="Statistics with solid fill">
          <a:extLst>
            <a:ext uri="{FF2B5EF4-FFF2-40B4-BE49-F238E27FC236}">
              <a16:creationId xmlns:a16="http://schemas.microsoft.com/office/drawing/2014/main" id="{43F6327E-6D09-D33E-92B2-238512AA96D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294" y="1155778"/>
          <a:ext cx="914400" cy="904934"/>
        </a:xfrm>
        <a:prstGeom prst="rect">
          <a:avLst/>
        </a:prstGeom>
      </xdr:spPr>
    </xdr:pic>
    <xdr:clientData/>
  </xdr:twoCellAnchor>
  <xdr:twoCellAnchor>
    <xdr:from>
      <xdr:col>4</xdr:col>
      <xdr:colOff>23452</xdr:colOff>
      <xdr:row>7</xdr:row>
      <xdr:rowOff>139232</xdr:rowOff>
    </xdr:from>
    <xdr:to>
      <xdr:col>5</xdr:col>
      <xdr:colOff>140674</xdr:colOff>
      <xdr:row>11</xdr:row>
      <xdr:rowOff>101094</xdr:rowOff>
    </xdr:to>
    <xdr:sp macro="" textlink="'Pivot Table'!J25">
      <xdr:nvSpPr>
        <xdr:cNvPr id="38" name="TextBox 37">
          <a:extLst>
            <a:ext uri="{FF2B5EF4-FFF2-40B4-BE49-F238E27FC236}">
              <a16:creationId xmlns:a16="http://schemas.microsoft.com/office/drawing/2014/main" id="{56DA3BBB-3EEC-2D60-17F9-4F938F0E3F22}"/>
            </a:ext>
          </a:extLst>
        </xdr:cNvPr>
        <xdr:cNvSpPr txBox="1"/>
      </xdr:nvSpPr>
      <xdr:spPr>
        <a:xfrm>
          <a:off x="2461852" y="1370155"/>
          <a:ext cx="726822" cy="665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AF6E68-9BD6-4EEC-980F-164D95FA2D7A}" type="TxLink">
            <a:rPr lang="en-US" sz="4000" b="1" i="0" u="none" strike="noStrike" baseline="0">
              <a:solidFill>
                <a:schemeClr val="bg1">
                  <a:lumMod val="85000"/>
                </a:schemeClr>
              </a:solidFill>
              <a:latin typeface="Aptos Narrow"/>
            </a:rPr>
            <a:pPr algn="l"/>
            <a:t>50</a:t>
          </a:fld>
          <a:endParaRPr lang="en-IN" sz="4000" b="1" baseline="0">
            <a:solidFill>
              <a:schemeClr val="bg1">
                <a:lumMod val="85000"/>
              </a:schemeClr>
            </a:solidFill>
          </a:endParaRPr>
        </a:p>
      </xdr:txBody>
    </xdr:sp>
    <xdr:clientData/>
  </xdr:twoCellAnchor>
  <xdr:twoCellAnchor>
    <xdr:from>
      <xdr:col>4</xdr:col>
      <xdr:colOff>23452</xdr:colOff>
      <xdr:row>10</xdr:row>
      <xdr:rowOff>143647</xdr:rowOff>
    </xdr:from>
    <xdr:to>
      <xdr:col>5</xdr:col>
      <xdr:colOff>568567</xdr:colOff>
      <xdr:row>12</xdr:row>
      <xdr:rowOff>84955</xdr:rowOff>
    </xdr:to>
    <xdr:sp macro="" textlink="">
      <xdr:nvSpPr>
        <xdr:cNvPr id="44" name="TextBox 43">
          <a:extLst>
            <a:ext uri="{FF2B5EF4-FFF2-40B4-BE49-F238E27FC236}">
              <a16:creationId xmlns:a16="http://schemas.microsoft.com/office/drawing/2014/main" id="{9CF2BE36-E332-0FE4-BFD4-F0A02A531C1B}"/>
            </a:ext>
          </a:extLst>
        </xdr:cNvPr>
        <xdr:cNvSpPr txBox="1"/>
      </xdr:nvSpPr>
      <xdr:spPr>
        <a:xfrm>
          <a:off x="2461852" y="1902109"/>
          <a:ext cx="1154715" cy="29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chemeClr val="bg1">
                  <a:lumMod val="85000"/>
                </a:schemeClr>
              </a:solidFill>
            </a:rPr>
            <a:t>Total Employee</a:t>
          </a:r>
        </a:p>
      </xdr:txBody>
    </xdr:sp>
    <xdr:clientData/>
  </xdr:twoCellAnchor>
  <xdr:twoCellAnchor>
    <xdr:from>
      <xdr:col>4</xdr:col>
      <xdr:colOff>90541</xdr:colOff>
      <xdr:row>6</xdr:row>
      <xdr:rowOff>155370</xdr:rowOff>
    </xdr:from>
    <xdr:to>
      <xdr:col>6</xdr:col>
      <xdr:colOff>307410</xdr:colOff>
      <xdr:row>8</xdr:row>
      <xdr:rowOff>96678</xdr:rowOff>
    </xdr:to>
    <xdr:sp macro="" textlink="">
      <xdr:nvSpPr>
        <xdr:cNvPr id="45" name="TextBox 44">
          <a:extLst>
            <a:ext uri="{FF2B5EF4-FFF2-40B4-BE49-F238E27FC236}">
              <a16:creationId xmlns:a16="http://schemas.microsoft.com/office/drawing/2014/main" id="{BFA88D37-7A54-13EE-02F9-E9AD414C3DAC}"/>
            </a:ext>
          </a:extLst>
        </xdr:cNvPr>
        <xdr:cNvSpPr txBox="1"/>
      </xdr:nvSpPr>
      <xdr:spPr>
        <a:xfrm>
          <a:off x="2525107" y="1219295"/>
          <a:ext cx="1434152" cy="295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solidFill>
                <a:srgbClr val="E5B344"/>
              </a:solidFill>
            </a:rPr>
            <a:t>Employees Number</a:t>
          </a:r>
        </a:p>
      </xdr:txBody>
    </xdr:sp>
    <xdr:clientData/>
  </xdr:twoCellAnchor>
  <xdr:twoCellAnchor editAs="oneCell">
    <xdr:from>
      <xdr:col>6</xdr:col>
      <xdr:colOff>164904</xdr:colOff>
      <xdr:row>7</xdr:row>
      <xdr:rowOff>19539</xdr:rowOff>
    </xdr:from>
    <xdr:to>
      <xdr:col>7</xdr:col>
      <xdr:colOff>469704</xdr:colOff>
      <xdr:row>12</xdr:row>
      <xdr:rowOff>54708</xdr:rowOff>
    </xdr:to>
    <xdr:pic>
      <xdr:nvPicPr>
        <xdr:cNvPr id="47" name="Graphic 46" descr="Users with solid fill">
          <a:extLst>
            <a:ext uri="{FF2B5EF4-FFF2-40B4-BE49-F238E27FC236}">
              <a16:creationId xmlns:a16="http://schemas.microsoft.com/office/drawing/2014/main" id="{F50D71B2-FEAD-F096-F6D1-E914FD91097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22504" y="1264139"/>
          <a:ext cx="914400" cy="924169"/>
        </a:xfrm>
        <a:prstGeom prst="rect">
          <a:avLst/>
        </a:prstGeom>
      </xdr:spPr>
    </xdr:pic>
    <xdr:clientData/>
  </xdr:twoCellAnchor>
  <xdr:twoCellAnchor>
    <xdr:from>
      <xdr:col>4</xdr:col>
      <xdr:colOff>78943</xdr:colOff>
      <xdr:row>14</xdr:row>
      <xdr:rowOff>53768</xdr:rowOff>
    </xdr:from>
    <xdr:to>
      <xdr:col>5</xdr:col>
      <xdr:colOff>396240</xdr:colOff>
      <xdr:row>15</xdr:row>
      <xdr:rowOff>172875</xdr:rowOff>
    </xdr:to>
    <xdr:sp macro="" textlink="">
      <xdr:nvSpPr>
        <xdr:cNvPr id="48" name="TextBox 47">
          <a:extLst>
            <a:ext uri="{FF2B5EF4-FFF2-40B4-BE49-F238E27FC236}">
              <a16:creationId xmlns:a16="http://schemas.microsoft.com/office/drawing/2014/main" id="{3B8533A3-A733-15B0-8C97-991EDEA5B10B}"/>
            </a:ext>
          </a:extLst>
        </xdr:cNvPr>
        <xdr:cNvSpPr txBox="1"/>
      </xdr:nvSpPr>
      <xdr:spPr>
        <a:xfrm>
          <a:off x="2517343" y="2499602"/>
          <a:ext cx="926897" cy="29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rgbClr val="E5B344"/>
              </a:solidFill>
            </a:rPr>
            <a:t>Males</a:t>
          </a:r>
        </a:p>
      </xdr:txBody>
    </xdr:sp>
    <xdr:clientData/>
  </xdr:twoCellAnchor>
  <xdr:twoCellAnchor>
    <xdr:from>
      <xdr:col>6</xdr:col>
      <xdr:colOff>129743</xdr:colOff>
      <xdr:row>14</xdr:row>
      <xdr:rowOff>94408</xdr:rowOff>
    </xdr:from>
    <xdr:to>
      <xdr:col>7</xdr:col>
      <xdr:colOff>447040</xdr:colOff>
      <xdr:row>16</xdr:row>
      <xdr:rowOff>35715</xdr:rowOff>
    </xdr:to>
    <xdr:sp macro="" textlink="">
      <xdr:nvSpPr>
        <xdr:cNvPr id="56" name="TextBox 55">
          <a:extLst>
            <a:ext uri="{FF2B5EF4-FFF2-40B4-BE49-F238E27FC236}">
              <a16:creationId xmlns:a16="http://schemas.microsoft.com/office/drawing/2014/main" id="{C1C33AEF-6AFA-089D-A7BA-DBA6D7CF46C4}"/>
            </a:ext>
          </a:extLst>
        </xdr:cNvPr>
        <xdr:cNvSpPr txBox="1"/>
      </xdr:nvSpPr>
      <xdr:spPr>
        <a:xfrm>
          <a:off x="3787343" y="2540242"/>
          <a:ext cx="926897" cy="290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rgbClr val="E5B344"/>
              </a:solidFill>
            </a:rPr>
            <a:t>Females</a:t>
          </a:r>
        </a:p>
      </xdr:txBody>
    </xdr:sp>
    <xdr:clientData/>
  </xdr:twoCellAnchor>
  <xdr:twoCellAnchor>
    <xdr:from>
      <xdr:col>4</xdr:col>
      <xdr:colOff>110391</xdr:colOff>
      <xdr:row>15</xdr:row>
      <xdr:rowOff>37012</xdr:rowOff>
    </xdr:from>
    <xdr:to>
      <xdr:col>5</xdr:col>
      <xdr:colOff>364791</xdr:colOff>
      <xdr:row>20</xdr:row>
      <xdr:rowOff>33908</xdr:rowOff>
    </xdr:to>
    <xdr:graphicFrame macro="">
      <xdr:nvGraphicFramePr>
        <xdr:cNvPr id="57" name="Chart 56">
          <a:extLst>
            <a:ext uri="{FF2B5EF4-FFF2-40B4-BE49-F238E27FC236}">
              <a16:creationId xmlns:a16="http://schemas.microsoft.com/office/drawing/2014/main" id="{4C829E47-F88A-4010-B878-7F88A7AD2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161191</xdr:colOff>
      <xdr:row>15</xdr:row>
      <xdr:rowOff>46770</xdr:rowOff>
    </xdr:from>
    <xdr:to>
      <xdr:col>7</xdr:col>
      <xdr:colOff>415591</xdr:colOff>
      <xdr:row>20</xdr:row>
      <xdr:rowOff>43666</xdr:rowOff>
    </xdr:to>
    <xdr:graphicFrame macro="">
      <xdr:nvGraphicFramePr>
        <xdr:cNvPr id="58" name="Chart 57">
          <a:extLst>
            <a:ext uri="{FF2B5EF4-FFF2-40B4-BE49-F238E27FC236}">
              <a16:creationId xmlns:a16="http://schemas.microsoft.com/office/drawing/2014/main" id="{BFB7430A-7670-4C1F-9235-CA442997A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289073</xdr:colOff>
      <xdr:row>16</xdr:row>
      <xdr:rowOff>120487</xdr:rowOff>
    </xdr:from>
    <xdr:to>
      <xdr:col>5</xdr:col>
      <xdr:colOff>186109</xdr:colOff>
      <xdr:row>18</xdr:row>
      <xdr:rowOff>152400</xdr:rowOff>
    </xdr:to>
    <xdr:sp macro="" textlink="'Pivot Table'!K23">
      <xdr:nvSpPr>
        <xdr:cNvPr id="59" name="TextBox 58">
          <a:extLst>
            <a:ext uri="{FF2B5EF4-FFF2-40B4-BE49-F238E27FC236}">
              <a16:creationId xmlns:a16="http://schemas.microsoft.com/office/drawing/2014/main" id="{6514A9F9-4030-529C-AF7E-EA35164C9B3D}"/>
            </a:ext>
          </a:extLst>
        </xdr:cNvPr>
        <xdr:cNvSpPr txBox="1"/>
      </xdr:nvSpPr>
      <xdr:spPr>
        <a:xfrm>
          <a:off x="2727473" y="2915726"/>
          <a:ext cx="506636" cy="38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E7340CF-9B8D-4983-97F6-B03EADF33361}" type="TxLink">
            <a:rPr lang="en-US" sz="1400" b="1" i="0" u="none" strike="noStrike" baseline="0">
              <a:solidFill>
                <a:schemeClr val="bg1">
                  <a:lumMod val="85000"/>
                </a:schemeClr>
              </a:solidFill>
              <a:latin typeface="Aptos Narrow"/>
            </a:rPr>
            <a:pPr algn="r"/>
            <a:t>48%</a:t>
          </a:fld>
          <a:endParaRPr lang="en-IN" sz="2000" b="1" baseline="0">
            <a:solidFill>
              <a:schemeClr val="bg1">
                <a:lumMod val="85000"/>
              </a:schemeClr>
            </a:solidFill>
          </a:endParaRPr>
        </a:p>
      </xdr:txBody>
    </xdr:sp>
    <xdr:clientData/>
  </xdr:twoCellAnchor>
  <xdr:twoCellAnchor>
    <xdr:from>
      <xdr:col>6</xdr:col>
      <xdr:colOff>339254</xdr:colOff>
      <xdr:row>16</xdr:row>
      <xdr:rowOff>135356</xdr:rowOff>
    </xdr:from>
    <xdr:to>
      <xdr:col>7</xdr:col>
      <xdr:colOff>237529</xdr:colOff>
      <xdr:row>18</xdr:row>
      <xdr:rowOff>130097</xdr:rowOff>
    </xdr:to>
    <xdr:sp macro="" textlink="'Pivot Table'!K24">
      <xdr:nvSpPr>
        <xdr:cNvPr id="60" name="TextBox 59">
          <a:extLst>
            <a:ext uri="{FF2B5EF4-FFF2-40B4-BE49-F238E27FC236}">
              <a16:creationId xmlns:a16="http://schemas.microsoft.com/office/drawing/2014/main" id="{85F4E9E3-4A0C-52B6-4D5A-8503650CBA3B}"/>
            </a:ext>
          </a:extLst>
        </xdr:cNvPr>
        <xdr:cNvSpPr txBox="1"/>
      </xdr:nvSpPr>
      <xdr:spPr>
        <a:xfrm>
          <a:off x="3996854" y="2930595"/>
          <a:ext cx="507875" cy="344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1990227-462A-4EA1-AE6C-30A583072A7F}" type="TxLink">
            <a:rPr lang="en-US" sz="1400" b="1" i="0" u="none" strike="noStrike" baseline="0">
              <a:solidFill>
                <a:schemeClr val="bg1">
                  <a:lumMod val="85000"/>
                </a:schemeClr>
              </a:solidFill>
              <a:latin typeface="Aptos Narrow"/>
            </a:rPr>
            <a:pPr algn="r"/>
            <a:t>52%</a:t>
          </a:fld>
          <a:endParaRPr lang="en-IN" sz="2000" b="1" baseline="0">
            <a:solidFill>
              <a:schemeClr val="bg1">
                <a:lumMod val="85000"/>
              </a:schemeClr>
            </a:solidFill>
          </a:endParaRPr>
        </a:p>
      </xdr:txBody>
    </xdr:sp>
    <xdr:clientData/>
  </xdr:twoCellAnchor>
  <xdr:twoCellAnchor>
    <xdr:from>
      <xdr:col>8</xdr:col>
      <xdr:colOff>305184</xdr:colOff>
      <xdr:row>8</xdr:row>
      <xdr:rowOff>168165</xdr:rowOff>
    </xdr:from>
    <xdr:to>
      <xdr:col>12</xdr:col>
      <xdr:colOff>18856</xdr:colOff>
      <xdr:row>17</xdr:row>
      <xdr:rowOff>120714</xdr:rowOff>
    </xdr:to>
    <xdr:graphicFrame macro="">
      <xdr:nvGraphicFramePr>
        <xdr:cNvPr id="61" name="Chart 60">
          <a:extLst>
            <a:ext uri="{FF2B5EF4-FFF2-40B4-BE49-F238E27FC236}">
              <a16:creationId xmlns:a16="http://schemas.microsoft.com/office/drawing/2014/main" id="{39140776-43AE-4002-B970-6AF5912C1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374904</xdr:colOff>
      <xdr:row>17</xdr:row>
      <xdr:rowOff>87017</xdr:rowOff>
    </xdr:from>
    <xdr:to>
      <xdr:col>9</xdr:col>
      <xdr:colOff>337837</xdr:colOff>
      <xdr:row>18</xdr:row>
      <xdr:rowOff>147841</xdr:rowOff>
    </xdr:to>
    <xdr:sp macro="" textlink="">
      <xdr:nvSpPr>
        <xdr:cNvPr id="62" name="TextBox 61">
          <a:extLst>
            <a:ext uri="{FF2B5EF4-FFF2-40B4-BE49-F238E27FC236}">
              <a16:creationId xmlns:a16="http://schemas.microsoft.com/office/drawing/2014/main" id="{71EEC3E9-1BB6-60F6-3966-668E6A3BBFA1}"/>
            </a:ext>
          </a:extLst>
        </xdr:cNvPr>
        <xdr:cNvSpPr txBox="1"/>
      </xdr:nvSpPr>
      <xdr:spPr>
        <a:xfrm>
          <a:off x="5260507" y="3079999"/>
          <a:ext cx="573633" cy="23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Analyst</a:t>
          </a:r>
          <a:endParaRPr lang="en-IN" sz="1100" baseline="0">
            <a:solidFill>
              <a:schemeClr val="bg1"/>
            </a:solidFill>
          </a:endParaRPr>
        </a:p>
      </xdr:txBody>
    </xdr:sp>
    <xdr:clientData/>
  </xdr:twoCellAnchor>
  <xdr:twoCellAnchor>
    <xdr:from>
      <xdr:col>8</xdr:col>
      <xdr:colOff>343024</xdr:colOff>
      <xdr:row>17</xdr:row>
      <xdr:rowOff>172013</xdr:rowOff>
    </xdr:from>
    <xdr:to>
      <xdr:col>8</xdr:col>
      <xdr:colOff>427794</xdr:colOff>
      <xdr:row>18</xdr:row>
      <xdr:rowOff>80808</xdr:rowOff>
    </xdr:to>
    <xdr:sp macro="" textlink="">
      <xdr:nvSpPr>
        <xdr:cNvPr id="64" name="Oval 63">
          <a:extLst>
            <a:ext uri="{FF2B5EF4-FFF2-40B4-BE49-F238E27FC236}">
              <a16:creationId xmlns:a16="http://schemas.microsoft.com/office/drawing/2014/main" id="{C5C18DE4-170F-E0D4-D7F7-44C86EB25066}"/>
            </a:ext>
          </a:extLst>
        </xdr:cNvPr>
        <xdr:cNvSpPr/>
      </xdr:nvSpPr>
      <xdr:spPr>
        <a:xfrm>
          <a:off x="5234425" y="3119630"/>
          <a:ext cx="84770" cy="82184"/>
        </a:xfrm>
        <a:prstGeom prst="ellipse">
          <a:avLst/>
        </a:prstGeom>
        <a:solidFill>
          <a:srgbClr val="779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407289</xdr:colOff>
      <xdr:row>17</xdr:row>
      <xdr:rowOff>83207</xdr:rowOff>
    </xdr:from>
    <xdr:to>
      <xdr:col>10</xdr:col>
      <xdr:colOff>428220</xdr:colOff>
      <xdr:row>18</xdr:row>
      <xdr:rowOff>144031</xdr:rowOff>
    </xdr:to>
    <xdr:sp macro="" textlink="">
      <xdr:nvSpPr>
        <xdr:cNvPr id="65" name="TextBox 64">
          <a:extLst>
            <a:ext uri="{FF2B5EF4-FFF2-40B4-BE49-F238E27FC236}">
              <a16:creationId xmlns:a16="http://schemas.microsoft.com/office/drawing/2014/main" id="{8315A260-AFA6-632B-CB1B-0963E18A878B}"/>
            </a:ext>
          </a:extLst>
        </xdr:cNvPr>
        <xdr:cNvSpPr txBox="1"/>
      </xdr:nvSpPr>
      <xdr:spPr>
        <a:xfrm>
          <a:off x="5903592" y="3076189"/>
          <a:ext cx="631632" cy="23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Manager</a:t>
          </a:r>
          <a:endParaRPr lang="en-IN" sz="1100" baseline="0">
            <a:solidFill>
              <a:schemeClr val="bg1"/>
            </a:solidFill>
          </a:endParaRPr>
        </a:p>
      </xdr:txBody>
    </xdr:sp>
    <xdr:clientData/>
  </xdr:twoCellAnchor>
  <xdr:twoCellAnchor>
    <xdr:from>
      <xdr:col>9</xdr:col>
      <xdr:colOff>382655</xdr:colOff>
      <xdr:row>17</xdr:row>
      <xdr:rowOff>168204</xdr:rowOff>
    </xdr:from>
    <xdr:to>
      <xdr:col>9</xdr:col>
      <xdr:colOff>469250</xdr:colOff>
      <xdr:row>18</xdr:row>
      <xdr:rowOff>76999</xdr:rowOff>
    </xdr:to>
    <xdr:sp macro="" textlink="">
      <xdr:nvSpPr>
        <xdr:cNvPr id="66" name="Oval 65">
          <a:extLst>
            <a:ext uri="{FF2B5EF4-FFF2-40B4-BE49-F238E27FC236}">
              <a16:creationId xmlns:a16="http://schemas.microsoft.com/office/drawing/2014/main" id="{DB2A0F60-677B-A313-8375-ADF31665F001}"/>
            </a:ext>
          </a:extLst>
        </xdr:cNvPr>
        <xdr:cNvSpPr/>
      </xdr:nvSpPr>
      <xdr:spPr>
        <a:xfrm>
          <a:off x="5878958" y="3161186"/>
          <a:ext cx="86595" cy="84853"/>
        </a:xfrm>
        <a:prstGeom prst="ellipse">
          <a:avLst/>
        </a:prstGeom>
        <a:solidFill>
          <a:srgbClr val="E5B3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431202</xdr:colOff>
      <xdr:row>17</xdr:row>
      <xdr:rowOff>79397</xdr:rowOff>
    </xdr:from>
    <xdr:to>
      <xdr:col>12</xdr:col>
      <xdr:colOff>74942</xdr:colOff>
      <xdr:row>18</xdr:row>
      <xdr:rowOff>140221</xdr:rowOff>
    </xdr:to>
    <xdr:sp macro="" textlink="">
      <xdr:nvSpPr>
        <xdr:cNvPr id="67" name="TextBox 66">
          <a:extLst>
            <a:ext uri="{FF2B5EF4-FFF2-40B4-BE49-F238E27FC236}">
              <a16:creationId xmlns:a16="http://schemas.microsoft.com/office/drawing/2014/main" id="{1BB4D5C8-79E8-E099-E136-4DC51ABB70E7}"/>
            </a:ext>
          </a:extLst>
        </xdr:cNvPr>
        <xdr:cNvSpPr txBox="1"/>
      </xdr:nvSpPr>
      <xdr:spPr>
        <a:xfrm>
          <a:off x="6538206" y="3072379"/>
          <a:ext cx="865140" cy="23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HR Specialist</a:t>
          </a:r>
          <a:endParaRPr lang="en-IN" sz="1100" baseline="0">
            <a:solidFill>
              <a:schemeClr val="bg1"/>
            </a:solidFill>
          </a:endParaRPr>
        </a:p>
      </xdr:txBody>
    </xdr:sp>
    <xdr:clientData/>
  </xdr:twoCellAnchor>
  <xdr:twoCellAnchor>
    <xdr:from>
      <xdr:col>10</xdr:col>
      <xdr:colOff>407575</xdr:colOff>
      <xdr:row>17</xdr:row>
      <xdr:rowOff>164393</xdr:rowOff>
    </xdr:from>
    <xdr:to>
      <xdr:col>10</xdr:col>
      <xdr:colOff>494170</xdr:colOff>
      <xdr:row>18</xdr:row>
      <xdr:rowOff>73188</xdr:rowOff>
    </xdr:to>
    <xdr:sp macro="" textlink="">
      <xdr:nvSpPr>
        <xdr:cNvPr id="68" name="Oval 67">
          <a:extLst>
            <a:ext uri="{FF2B5EF4-FFF2-40B4-BE49-F238E27FC236}">
              <a16:creationId xmlns:a16="http://schemas.microsoft.com/office/drawing/2014/main" id="{EBFE7D97-982D-295B-142C-FAD48A919EFB}"/>
            </a:ext>
          </a:extLst>
        </xdr:cNvPr>
        <xdr:cNvSpPr/>
      </xdr:nvSpPr>
      <xdr:spPr>
        <a:xfrm>
          <a:off x="6514579" y="3157375"/>
          <a:ext cx="86595" cy="84853"/>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369189</xdr:colOff>
      <xdr:row>18</xdr:row>
      <xdr:rowOff>90827</xdr:rowOff>
    </xdr:from>
    <xdr:to>
      <xdr:col>9</xdr:col>
      <xdr:colOff>473860</xdr:colOff>
      <xdr:row>19</xdr:row>
      <xdr:rowOff>151651</xdr:rowOff>
    </xdr:to>
    <xdr:sp macro="" textlink="">
      <xdr:nvSpPr>
        <xdr:cNvPr id="69" name="TextBox 68">
          <a:extLst>
            <a:ext uri="{FF2B5EF4-FFF2-40B4-BE49-F238E27FC236}">
              <a16:creationId xmlns:a16="http://schemas.microsoft.com/office/drawing/2014/main" id="{A6043210-3537-7016-884A-24D92A38D048}"/>
            </a:ext>
          </a:extLst>
        </xdr:cNvPr>
        <xdr:cNvSpPr txBox="1"/>
      </xdr:nvSpPr>
      <xdr:spPr>
        <a:xfrm>
          <a:off x="5254792" y="3259867"/>
          <a:ext cx="715371" cy="236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Developer</a:t>
          </a:r>
          <a:endParaRPr lang="en-IN" sz="1100" baseline="0">
            <a:solidFill>
              <a:schemeClr val="bg1"/>
            </a:solidFill>
          </a:endParaRPr>
        </a:p>
      </xdr:txBody>
    </xdr:sp>
    <xdr:clientData/>
  </xdr:twoCellAnchor>
  <xdr:twoCellAnchor>
    <xdr:from>
      <xdr:col>8</xdr:col>
      <xdr:colOff>337309</xdr:colOff>
      <xdr:row>19</xdr:row>
      <xdr:rowOff>2434</xdr:rowOff>
    </xdr:from>
    <xdr:to>
      <xdr:col>8</xdr:col>
      <xdr:colOff>420174</xdr:colOff>
      <xdr:row>19</xdr:row>
      <xdr:rowOff>84618</xdr:rowOff>
    </xdr:to>
    <xdr:sp macro="" textlink="">
      <xdr:nvSpPr>
        <xdr:cNvPr id="70" name="Oval 69">
          <a:extLst>
            <a:ext uri="{FF2B5EF4-FFF2-40B4-BE49-F238E27FC236}">
              <a16:creationId xmlns:a16="http://schemas.microsoft.com/office/drawing/2014/main" id="{943B3985-5BE3-88B2-9C0A-137637A60C0F}"/>
            </a:ext>
          </a:extLst>
        </xdr:cNvPr>
        <xdr:cNvSpPr/>
      </xdr:nvSpPr>
      <xdr:spPr>
        <a:xfrm>
          <a:off x="5228710" y="3296829"/>
          <a:ext cx="82865" cy="82184"/>
        </a:xfrm>
        <a:prstGeom prst="ellipse">
          <a:avLst/>
        </a:prstGeom>
        <a:solidFill>
          <a:srgbClr val="948A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484530</xdr:colOff>
      <xdr:row>18</xdr:row>
      <xdr:rowOff>104162</xdr:rowOff>
    </xdr:from>
    <xdr:to>
      <xdr:col>10</xdr:col>
      <xdr:colOff>513081</xdr:colOff>
      <xdr:row>19</xdr:row>
      <xdr:rowOff>163115</xdr:rowOff>
    </xdr:to>
    <xdr:sp macro="" textlink="">
      <xdr:nvSpPr>
        <xdr:cNvPr id="71" name="TextBox 70">
          <a:extLst>
            <a:ext uri="{FF2B5EF4-FFF2-40B4-BE49-F238E27FC236}">
              <a16:creationId xmlns:a16="http://schemas.microsoft.com/office/drawing/2014/main" id="{3231398F-B37E-A22D-E5FF-65140CD88894}"/>
            </a:ext>
          </a:extLst>
        </xdr:cNvPr>
        <xdr:cNvSpPr txBox="1"/>
      </xdr:nvSpPr>
      <xdr:spPr>
        <a:xfrm>
          <a:off x="5980833" y="3273202"/>
          <a:ext cx="639252" cy="235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rPr>
            <a:t>Designer</a:t>
          </a:r>
          <a:endParaRPr lang="en-IN" sz="1100" baseline="0">
            <a:solidFill>
              <a:schemeClr val="bg1"/>
            </a:solidFill>
          </a:endParaRPr>
        </a:p>
      </xdr:txBody>
    </xdr:sp>
    <xdr:clientData/>
  </xdr:twoCellAnchor>
  <xdr:twoCellAnchor>
    <xdr:from>
      <xdr:col>9</xdr:col>
      <xdr:colOff>463654</xdr:colOff>
      <xdr:row>19</xdr:row>
      <xdr:rowOff>15769</xdr:rowOff>
    </xdr:from>
    <xdr:to>
      <xdr:col>9</xdr:col>
      <xdr:colOff>550249</xdr:colOff>
      <xdr:row>19</xdr:row>
      <xdr:rowOff>97953</xdr:rowOff>
    </xdr:to>
    <xdr:sp macro="" textlink="">
      <xdr:nvSpPr>
        <xdr:cNvPr id="72" name="Oval 71">
          <a:extLst>
            <a:ext uri="{FF2B5EF4-FFF2-40B4-BE49-F238E27FC236}">
              <a16:creationId xmlns:a16="http://schemas.microsoft.com/office/drawing/2014/main" id="{5D67F5EB-6198-CA3D-3E29-EF1A5549767C}"/>
            </a:ext>
          </a:extLst>
        </xdr:cNvPr>
        <xdr:cNvSpPr/>
      </xdr:nvSpPr>
      <xdr:spPr>
        <a:xfrm>
          <a:off x="5959957" y="3360866"/>
          <a:ext cx="86595" cy="82184"/>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286647</xdr:colOff>
      <xdr:row>6</xdr:row>
      <xdr:rowOff>96252</xdr:rowOff>
    </xdr:from>
    <xdr:to>
      <xdr:col>10</xdr:col>
      <xdr:colOff>182358</xdr:colOff>
      <xdr:row>8</xdr:row>
      <xdr:rowOff>39484</xdr:rowOff>
    </xdr:to>
    <xdr:sp macro="" textlink="">
      <xdr:nvSpPr>
        <xdr:cNvPr id="87" name="TextBox 86">
          <a:extLst>
            <a:ext uri="{FF2B5EF4-FFF2-40B4-BE49-F238E27FC236}">
              <a16:creationId xmlns:a16="http://schemas.microsoft.com/office/drawing/2014/main" id="{26B0976D-59B4-372F-0AFE-132160AB266D}"/>
            </a:ext>
          </a:extLst>
        </xdr:cNvPr>
        <xdr:cNvSpPr txBox="1"/>
      </xdr:nvSpPr>
      <xdr:spPr>
        <a:xfrm>
          <a:off x="5158004" y="1157609"/>
          <a:ext cx="1113550" cy="29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Level Tracking</a:t>
          </a:r>
        </a:p>
      </xdr:txBody>
    </xdr:sp>
    <xdr:clientData/>
  </xdr:twoCellAnchor>
  <xdr:twoCellAnchor>
    <xdr:from>
      <xdr:col>8</xdr:col>
      <xdr:colOff>283082</xdr:colOff>
      <xdr:row>7</xdr:row>
      <xdr:rowOff>128336</xdr:rowOff>
    </xdr:from>
    <xdr:to>
      <xdr:col>12</xdr:col>
      <xdr:colOff>3394</xdr:colOff>
      <xdr:row>8</xdr:row>
      <xdr:rowOff>170546</xdr:rowOff>
    </xdr:to>
    <xdr:sp macro="" textlink="">
      <xdr:nvSpPr>
        <xdr:cNvPr id="88" name="TextBox 87">
          <a:extLst>
            <a:ext uri="{FF2B5EF4-FFF2-40B4-BE49-F238E27FC236}">
              <a16:creationId xmlns:a16="http://schemas.microsoft.com/office/drawing/2014/main" id="{1ABE8853-82C7-A2F0-769E-9696BA86A6A7}"/>
            </a:ext>
          </a:extLst>
        </xdr:cNvPr>
        <xdr:cNvSpPr txBox="1"/>
      </xdr:nvSpPr>
      <xdr:spPr>
        <a:xfrm>
          <a:off x="5154439" y="1366586"/>
          <a:ext cx="2155991" cy="219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baseline="0">
              <a:solidFill>
                <a:schemeClr val="tx1">
                  <a:lumMod val="50000"/>
                  <a:lumOff val="50000"/>
                </a:schemeClr>
              </a:solidFill>
            </a:rPr>
            <a:t>Level taken by  job title</a:t>
          </a:r>
        </a:p>
      </xdr:txBody>
    </xdr:sp>
    <xdr:clientData/>
  </xdr:twoCellAnchor>
  <xdr:twoCellAnchor>
    <xdr:from>
      <xdr:col>12</xdr:col>
      <xdr:colOff>545612</xdr:colOff>
      <xdr:row>12</xdr:row>
      <xdr:rowOff>105504</xdr:rowOff>
    </xdr:from>
    <xdr:to>
      <xdr:col>16</xdr:col>
      <xdr:colOff>394800</xdr:colOff>
      <xdr:row>19</xdr:row>
      <xdr:rowOff>38681</xdr:rowOff>
    </xdr:to>
    <xdr:graphicFrame macro="">
      <xdr:nvGraphicFramePr>
        <xdr:cNvPr id="90" name="Chart 89">
          <a:extLst>
            <a:ext uri="{FF2B5EF4-FFF2-40B4-BE49-F238E27FC236}">
              <a16:creationId xmlns:a16="http://schemas.microsoft.com/office/drawing/2014/main" id="{FD78BB67-5714-4253-9BF7-119FB2144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565041</xdr:colOff>
      <xdr:row>10</xdr:row>
      <xdr:rowOff>118139</xdr:rowOff>
    </xdr:from>
    <xdr:to>
      <xdr:col>14</xdr:col>
      <xdr:colOff>460752</xdr:colOff>
      <xdr:row>12</xdr:row>
      <xdr:rowOff>60296</xdr:rowOff>
    </xdr:to>
    <xdr:sp macro="" textlink="">
      <xdr:nvSpPr>
        <xdr:cNvPr id="91" name="TextBox 90">
          <a:extLst>
            <a:ext uri="{FF2B5EF4-FFF2-40B4-BE49-F238E27FC236}">
              <a16:creationId xmlns:a16="http://schemas.microsoft.com/office/drawing/2014/main" id="{0D807336-9FBF-61FB-687A-3A6E0B9DF428}"/>
            </a:ext>
          </a:extLst>
        </xdr:cNvPr>
        <xdr:cNvSpPr txBox="1"/>
      </xdr:nvSpPr>
      <xdr:spPr>
        <a:xfrm>
          <a:off x="7880241" y="1870739"/>
          <a:ext cx="1114911" cy="29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Region</a:t>
          </a:r>
        </a:p>
      </xdr:txBody>
    </xdr:sp>
    <xdr:clientData/>
  </xdr:twoCellAnchor>
  <xdr:twoCellAnchor>
    <xdr:from>
      <xdr:col>12</xdr:col>
      <xdr:colOff>561476</xdr:colOff>
      <xdr:row>11</xdr:row>
      <xdr:rowOff>150223</xdr:rowOff>
    </xdr:from>
    <xdr:to>
      <xdr:col>16</xdr:col>
      <xdr:colOff>282506</xdr:colOff>
      <xdr:row>13</xdr:row>
      <xdr:rowOff>16588</xdr:rowOff>
    </xdr:to>
    <xdr:sp macro="" textlink="">
      <xdr:nvSpPr>
        <xdr:cNvPr id="92" name="TextBox 91">
          <a:extLst>
            <a:ext uri="{FF2B5EF4-FFF2-40B4-BE49-F238E27FC236}">
              <a16:creationId xmlns:a16="http://schemas.microsoft.com/office/drawing/2014/main" id="{EBFCC982-2AA8-72EB-6A9A-730A2F5F353E}"/>
            </a:ext>
          </a:extLst>
        </xdr:cNvPr>
        <xdr:cNvSpPr txBox="1"/>
      </xdr:nvSpPr>
      <xdr:spPr>
        <a:xfrm>
          <a:off x="7876676" y="2078083"/>
          <a:ext cx="2159430" cy="21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baseline="0">
              <a:solidFill>
                <a:schemeClr val="tx1">
                  <a:lumMod val="50000"/>
                  <a:lumOff val="50000"/>
                </a:schemeClr>
              </a:solidFill>
            </a:rPr>
            <a:t>Employee per region</a:t>
          </a:r>
        </a:p>
      </xdr:txBody>
    </xdr:sp>
    <xdr:clientData/>
  </xdr:twoCellAnchor>
  <xdr:twoCellAnchor>
    <xdr:from>
      <xdr:col>13</xdr:col>
      <xdr:colOff>182475</xdr:colOff>
      <xdr:row>3</xdr:row>
      <xdr:rowOff>119355</xdr:rowOff>
    </xdr:from>
    <xdr:to>
      <xdr:col>14</xdr:col>
      <xdr:colOff>477075</xdr:colOff>
      <xdr:row>8</xdr:row>
      <xdr:rowOff>86141</xdr:rowOff>
    </xdr:to>
    <xdr:sp macro="" textlink="'Pivot Table'!X19">
      <xdr:nvSpPr>
        <xdr:cNvPr id="93" name="TextBox 92">
          <a:extLst>
            <a:ext uri="{FF2B5EF4-FFF2-40B4-BE49-F238E27FC236}">
              <a16:creationId xmlns:a16="http://schemas.microsoft.com/office/drawing/2014/main" id="{2009936B-5916-C8E6-A821-C4E486F81264}"/>
            </a:ext>
          </a:extLst>
        </xdr:cNvPr>
        <xdr:cNvSpPr txBox="1"/>
      </xdr:nvSpPr>
      <xdr:spPr>
        <a:xfrm>
          <a:off x="8107275" y="636190"/>
          <a:ext cx="904200" cy="828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174402-300D-42DF-804C-6FABDB5E2ED5}" type="TxLink">
            <a:rPr lang="en-US" sz="4000" b="1" i="0" u="none" strike="noStrike" baseline="0">
              <a:solidFill>
                <a:schemeClr val="bg1">
                  <a:lumMod val="85000"/>
                </a:schemeClr>
              </a:solidFill>
              <a:latin typeface="Aptos Narrow"/>
            </a:rPr>
            <a:pPr algn="l"/>
            <a:t>2.6</a:t>
          </a:fld>
          <a:endParaRPr lang="en-IN" sz="11500" b="1" i="0" u="none" strike="noStrike" baseline="0">
            <a:solidFill>
              <a:schemeClr val="bg1">
                <a:lumMod val="85000"/>
              </a:schemeClr>
            </a:solidFill>
            <a:latin typeface="Aptos Narrow"/>
          </a:endParaRPr>
        </a:p>
      </xdr:txBody>
    </xdr:sp>
    <xdr:clientData/>
  </xdr:twoCellAnchor>
  <xdr:twoCellAnchor>
    <xdr:from>
      <xdr:col>13</xdr:col>
      <xdr:colOff>76459</xdr:colOff>
      <xdr:row>7</xdr:row>
      <xdr:rowOff>67475</xdr:rowOff>
    </xdr:from>
    <xdr:to>
      <xdr:col>15</xdr:col>
      <xdr:colOff>11974</xdr:colOff>
      <xdr:row>9</xdr:row>
      <xdr:rowOff>6627</xdr:rowOff>
    </xdr:to>
    <xdr:sp macro="" textlink="">
      <xdr:nvSpPr>
        <xdr:cNvPr id="94" name="TextBox 93">
          <a:extLst>
            <a:ext uri="{FF2B5EF4-FFF2-40B4-BE49-F238E27FC236}">
              <a16:creationId xmlns:a16="http://schemas.microsoft.com/office/drawing/2014/main" id="{7199C9E3-0643-5CDD-227B-511B9E464F89}"/>
            </a:ext>
          </a:extLst>
        </xdr:cNvPr>
        <xdr:cNvSpPr txBox="1"/>
      </xdr:nvSpPr>
      <xdr:spPr>
        <a:xfrm>
          <a:off x="7993302" y="1288511"/>
          <a:ext cx="1153491" cy="288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solidFill>
                <a:schemeClr val="bg1">
                  <a:lumMod val="85000"/>
                </a:schemeClr>
              </a:solidFill>
            </a:rPr>
            <a:t>Average Rating</a:t>
          </a:r>
        </a:p>
      </xdr:txBody>
    </xdr:sp>
    <xdr:clientData/>
  </xdr:twoCellAnchor>
  <xdr:twoCellAnchor>
    <xdr:from>
      <xdr:col>13</xdr:col>
      <xdr:colOff>6944</xdr:colOff>
      <xdr:row>1</xdr:row>
      <xdr:rowOff>71757</xdr:rowOff>
    </xdr:from>
    <xdr:to>
      <xdr:col>15</xdr:col>
      <xdr:colOff>265216</xdr:colOff>
      <xdr:row>3</xdr:row>
      <xdr:rowOff>13913</xdr:rowOff>
    </xdr:to>
    <xdr:sp macro="" textlink="">
      <xdr:nvSpPr>
        <xdr:cNvPr id="96" name="TextBox 95">
          <a:extLst>
            <a:ext uri="{FF2B5EF4-FFF2-40B4-BE49-F238E27FC236}">
              <a16:creationId xmlns:a16="http://schemas.microsoft.com/office/drawing/2014/main" id="{5180A782-21D4-7183-80A3-2A4EF1345261}"/>
            </a:ext>
          </a:extLst>
        </xdr:cNvPr>
        <xdr:cNvSpPr txBox="1"/>
      </xdr:nvSpPr>
      <xdr:spPr>
        <a:xfrm>
          <a:off x="7926651" y="246096"/>
          <a:ext cx="1476688" cy="290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344"/>
              </a:solidFill>
            </a:rPr>
            <a:t>Performance Rating</a:t>
          </a:r>
        </a:p>
      </xdr:txBody>
    </xdr:sp>
    <xdr:clientData/>
  </xdr:twoCellAnchor>
  <xdr:twoCellAnchor>
    <xdr:from>
      <xdr:col>13</xdr:col>
      <xdr:colOff>3379</xdr:colOff>
      <xdr:row>2</xdr:row>
      <xdr:rowOff>103840</xdr:rowOff>
    </xdr:from>
    <xdr:to>
      <xdr:col>16</xdr:col>
      <xdr:colOff>333617</xdr:colOff>
      <xdr:row>3</xdr:row>
      <xdr:rowOff>142483</xdr:rowOff>
    </xdr:to>
    <xdr:sp macro="" textlink="">
      <xdr:nvSpPr>
        <xdr:cNvPr id="97" name="TextBox 96">
          <a:extLst>
            <a:ext uri="{FF2B5EF4-FFF2-40B4-BE49-F238E27FC236}">
              <a16:creationId xmlns:a16="http://schemas.microsoft.com/office/drawing/2014/main" id="{A6334E0A-A7BF-49D7-679A-5399FF521C8B}"/>
            </a:ext>
          </a:extLst>
        </xdr:cNvPr>
        <xdr:cNvSpPr txBox="1"/>
      </xdr:nvSpPr>
      <xdr:spPr>
        <a:xfrm>
          <a:off x="7923086" y="452519"/>
          <a:ext cx="2157863" cy="212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baseline="0">
              <a:solidFill>
                <a:schemeClr val="tx1">
                  <a:lumMod val="50000"/>
                  <a:lumOff val="50000"/>
                </a:schemeClr>
              </a:solidFill>
            </a:rPr>
            <a:t>Average Perfoemance Rating</a:t>
          </a:r>
        </a:p>
      </xdr:txBody>
    </xdr:sp>
    <xdr:clientData/>
  </xdr:twoCellAnchor>
  <xdr:twoCellAnchor editAs="oneCell">
    <xdr:from>
      <xdr:col>14</xdr:col>
      <xdr:colOff>602974</xdr:colOff>
      <xdr:row>3</xdr:row>
      <xdr:rowOff>125896</xdr:rowOff>
    </xdr:from>
    <xdr:to>
      <xdr:col>16</xdr:col>
      <xdr:colOff>298174</xdr:colOff>
      <xdr:row>9</xdr:row>
      <xdr:rowOff>6627</xdr:rowOff>
    </xdr:to>
    <xdr:pic>
      <xdr:nvPicPr>
        <xdr:cNvPr id="99" name="Graphic 98" descr="Bar graph with upward trend with solid fill">
          <a:extLst>
            <a:ext uri="{FF2B5EF4-FFF2-40B4-BE49-F238E27FC236}">
              <a16:creationId xmlns:a16="http://schemas.microsoft.com/office/drawing/2014/main" id="{966013A9-0A28-A393-273A-7715BE7CE60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28805" y="649197"/>
          <a:ext cx="913176" cy="927334"/>
        </a:xfrm>
        <a:prstGeom prst="rect">
          <a:avLst/>
        </a:prstGeom>
      </xdr:spPr>
    </xdr:pic>
    <xdr:clientData/>
  </xdr:twoCellAnchor>
  <xdr:twoCellAnchor>
    <xdr:from>
      <xdr:col>12</xdr:col>
      <xdr:colOff>584762</xdr:colOff>
      <xdr:row>1</xdr:row>
      <xdr:rowOff>166429</xdr:rowOff>
    </xdr:from>
    <xdr:to>
      <xdr:col>13</xdr:col>
      <xdr:colOff>60960</xdr:colOff>
      <xdr:row>2</xdr:row>
      <xdr:rowOff>78105</xdr:rowOff>
    </xdr:to>
    <xdr:sp macro="" textlink="">
      <xdr:nvSpPr>
        <xdr:cNvPr id="100" name="Oval 99">
          <a:extLst>
            <a:ext uri="{FF2B5EF4-FFF2-40B4-BE49-F238E27FC236}">
              <a16:creationId xmlns:a16="http://schemas.microsoft.com/office/drawing/2014/main" id="{3E9657E8-30F7-093C-394D-C8AE99CCC29F}"/>
            </a:ext>
          </a:extLst>
        </xdr:cNvPr>
        <xdr:cNvSpPr/>
      </xdr:nvSpPr>
      <xdr:spPr>
        <a:xfrm>
          <a:off x="7899962" y="341689"/>
          <a:ext cx="85798" cy="86936"/>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542852</xdr:colOff>
      <xdr:row>11</xdr:row>
      <xdr:rowOff>40699</xdr:rowOff>
    </xdr:from>
    <xdr:to>
      <xdr:col>13</xdr:col>
      <xdr:colOff>19050</xdr:colOff>
      <xdr:row>11</xdr:row>
      <xdr:rowOff>127635</xdr:rowOff>
    </xdr:to>
    <xdr:sp macro="" textlink="">
      <xdr:nvSpPr>
        <xdr:cNvPr id="101" name="Oval 100">
          <a:extLst>
            <a:ext uri="{FF2B5EF4-FFF2-40B4-BE49-F238E27FC236}">
              <a16:creationId xmlns:a16="http://schemas.microsoft.com/office/drawing/2014/main" id="{02B765C1-3483-0719-8CFC-ED86A16F5E6A}"/>
            </a:ext>
          </a:extLst>
        </xdr:cNvPr>
        <xdr:cNvSpPr/>
      </xdr:nvSpPr>
      <xdr:spPr>
        <a:xfrm>
          <a:off x="7858052" y="1968559"/>
          <a:ext cx="85798" cy="86936"/>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512372</xdr:colOff>
      <xdr:row>19</xdr:row>
      <xdr:rowOff>148431</xdr:rowOff>
    </xdr:from>
    <xdr:to>
      <xdr:col>12</xdr:col>
      <xdr:colOff>598170</xdr:colOff>
      <xdr:row>20</xdr:row>
      <xdr:rowOff>57567</xdr:rowOff>
    </xdr:to>
    <xdr:sp macro="" textlink="">
      <xdr:nvSpPr>
        <xdr:cNvPr id="105" name="Oval 104">
          <a:extLst>
            <a:ext uri="{FF2B5EF4-FFF2-40B4-BE49-F238E27FC236}">
              <a16:creationId xmlns:a16="http://schemas.microsoft.com/office/drawing/2014/main" id="{B29DE403-2188-48C3-10D9-4998B5826741}"/>
            </a:ext>
          </a:extLst>
        </xdr:cNvPr>
        <xdr:cNvSpPr/>
      </xdr:nvSpPr>
      <xdr:spPr>
        <a:xfrm>
          <a:off x="7834858" y="3493945"/>
          <a:ext cx="85798" cy="85216"/>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489178</xdr:colOff>
      <xdr:row>28</xdr:row>
      <xdr:rowOff>61160</xdr:rowOff>
    </xdr:from>
    <xdr:to>
      <xdr:col>12</xdr:col>
      <xdr:colOff>574976</xdr:colOff>
      <xdr:row>28</xdr:row>
      <xdr:rowOff>146376</xdr:rowOff>
    </xdr:to>
    <xdr:sp macro="" textlink="">
      <xdr:nvSpPr>
        <xdr:cNvPr id="118" name="Oval 117">
          <a:extLst>
            <a:ext uri="{FF2B5EF4-FFF2-40B4-BE49-F238E27FC236}">
              <a16:creationId xmlns:a16="http://schemas.microsoft.com/office/drawing/2014/main" id="{B955FD0E-C914-F94F-4559-D8D22291F95B}"/>
            </a:ext>
          </a:extLst>
        </xdr:cNvPr>
        <xdr:cNvSpPr/>
      </xdr:nvSpPr>
      <xdr:spPr>
        <a:xfrm>
          <a:off x="7811664" y="4991391"/>
          <a:ext cx="85798" cy="85216"/>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276839</xdr:colOff>
      <xdr:row>22</xdr:row>
      <xdr:rowOff>108724</xdr:rowOff>
    </xdr:from>
    <xdr:to>
      <xdr:col>8</xdr:col>
      <xdr:colOff>362637</xdr:colOff>
      <xdr:row>23</xdr:row>
      <xdr:rowOff>17860</xdr:rowOff>
    </xdr:to>
    <xdr:sp macro="" textlink="">
      <xdr:nvSpPr>
        <xdr:cNvPr id="119" name="Oval 118">
          <a:extLst>
            <a:ext uri="{FF2B5EF4-FFF2-40B4-BE49-F238E27FC236}">
              <a16:creationId xmlns:a16="http://schemas.microsoft.com/office/drawing/2014/main" id="{5E4F3CB4-3FE0-6AAE-BA14-A8A90542C214}"/>
            </a:ext>
          </a:extLst>
        </xdr:cNvPr>
        <xdr:cNvSpPr/>
      </xdr:nvSpPr>
      <xdr:spPr>
        <a:xfrm>
          <a:off x="5153639" y="3952178"/>
          <a:ext cx="85798" cy="83838"/>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90572</xdr:colOff>
      <xdr:row>22</xdr:row>
      <xdr:rowOff>86328</xdr:rowOff>
    </xdr:from>
    <xdr:to>
      <xdr:col>4</xdr:col>
      <xdr:colOff>176370</xdr:colOff>
      <xdr:row>22</xdr:row>
      <xdr:rowOff>170260</xdr:rowOff>
    </xdr:to>
    <xdr:sp macro="" textlink="">
      <xdr:nvSpPr>
        <xdr:cNvPr id="120" name="Oval 119">
          <a:extLst>
            <a:ext uri="{FF2B5EF4-FFF2-40B4-BE49-F238E27FC236}">
              <a16:creationId xmlns:a16="http://schemas.microsoft.com/office/drawing/2014/main" id="{64B1CAC4-EF98-FD50-CB9A-DC3AA26F6636}"/>
            </a:ext>
          </a:extLst>
        </xdr:cNvPr>
        <xdr:cNvSpPr/>
      </xdr:nvSpPr>
      <xdr:spPr>
        <a:xfrm>
          <a:off x="2526787" y="3931833"/>
          <a:ext cx="85798" cy="83932"/>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22</xdr:row>
      <xdr:rowOff>119484</xdr:rowOff>
    </xdr:from>
    <xdr:to>
      <xdr:col>0</xdr:col>
      <xdr:colOff>0</xdr:colOff>
      <xdr:row>23</xdr:row>
      <xdr:rowOff>26096</xdr:rowOff>
    </xdr:to>
    <xdr:sp macro="" textlink="">
      <xdr:nvSpPr>
        <xdr:cNvPr id="132" name="Oval 131">
          <a:extLst>
            <a:ext uri="{FF2B5EF4-FFF2-40B4-BE49-F238E27FC236}">
              <a16:creationId xmlns:a16="http://schemas.microsoft.com/office/drawing/2014/main" id="{9DA8797C-5E46-3B2F-FC1F-86BDDA3E130A}"/>
            </a:ext>
          </a:extLst>
        </xdr:cNvPr>
        <xdr:cNvSpPr/>
      </xdr:nvSpPr>
      <xdr:spPr>
        <a:xfrm>
          <a:off x="0" y="4020541"/>
          <a:ext cx="0" cy="83932"/>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51272</xdr:colOff>
      <xdr:row>7</xdr:row>
      <xdr:rowOff>80579</xdr:rowOff>
    </xdr:from>
    <xdr:to>
      <xdr:col>4</xdr:col>
      <xdr:colOff>137070</xdr:colOff>
      <xdr:row>7</xdr:row>
      <xdr:rowOff>164511</xdr:rowOff>
    </xdr:to>
    <xdr:sp macro="" textlink="">
      <xdr:nvSpPr>
        <xdr:cNvPr id="133" name="Oval 132">
          <a:extLst>
            <a:ext uri="{FF2B5EF4-FFF2-40B4-BE49-F238E27FC236}">
              <a16:creationId xmlns:a16="http://schemas.microsoft.com/office/drawing/2014/main" id="{FB397CF6-E7CE-ECB5-264C-EA58D2481FF3}"/>
            </a:ext>
          </a:extLst>
        </xdr:cNvPr>
        <xdr:cNvSpPr/>
      </xdr:nvSpPr>
      <xdr:spPr>
        <a:xfrm>
          <a:off x="2485838" y="1321824"/>
          <a:ext cx="85798" cy="83932"/>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258104</xdr:colOff>
      <xdr:row>7</xdr:row>
      <xdr:rowOff>22068</xdr:rowOff>
    </xdr:from>
    <xdr:to>
      <xdr:col>8</xdr:col>
      <xdr:colOff>343902</xdr:colOff>
      <xdr:row>7</xdr:row>
      <xdr:rowOff>106000</xdr:rowOff>
    </xdr:to>
    <xdr:sp macro="" textlink="">
      <xdr:nvSpPr>
        <xdr:cNvPr id="134" name="Oval 133">
          <a:extLst>
            <a:ext uri="{FF2B5EF4-FFF2-40B4-BE49-F238E27FC236}">
              <a16:creationId xmlns:a16="http://schemas.microsoft.com/office/drawing/2014/main" id="{6BFAA3E7-9AD4-7D46-4A4B-FE1EA964E714}"/>
            </a:ext>
          </a:extLst>
        </xdr:cNvPr>
        <xdr:cNvSpPr/>
      </xdr:nvSpPr>
      <xdr:spPr>
        <a:xfrm>
          <a:off x="5129461" y="1260318"/>
          <a:ext cx="85798" cy="83932"/>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382026</xdr:colOff>
      <xdr:row>25</xdr:row>
      <xdr:rowOff>55494</xdr:rowOff>
    </xdr:from>
    <xdr:to>
      <xdr:col>0</xdr:col>
      <xdr:colOff>467824</xdr:colOff>
      <xdr:row>25</xdr:row>
      <xdr:rowOff>139426</xdr:rowOff>
    </xdr:to>
    <xdr:sp macro="" textlink="">
      <xdr:nvSpPr>
        <xdr:cNvPr id="135" name="Oval 134">
          <a:extLst>
            <a:ext uri="{FF2B5EF4-FFF2-40B4-BE49-F238E27FC236}">
              <a16:creationId xmlns:a16="http://schemas.microsoft.com/office/drawing/2014/main" id="{4A2071A7-4871-B3E8-E16A-0B08DFB8E982}"/>
            </a:ext>
          </a:extLst>
        </xdr:cNvPr>
        <xdr:cNvSpPr/>
      </xdr:nvSpPr>
      <xdr:spPr>
        <a:xfrm>
          <a:off x="382026" y="4421119"/>
          <a:ext cx="85798" cy="83932"/>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245952</xdr:colOff>
      <xdr:row>1</xdr:row>
      <xdr:rowOff>6494</xdr:rowOff>
    </xdr:from>
    <xdr:to>
      <xdr:col>3</xdr:col>
      <xdr:colOff>229719</xdr:colOff>
      <xdr:row>2</xdr:row>
      <xdr:rowOff>160922</xdr:rowOff>
    </xdr:to>
    <xdr:sp macro="" textlink="">
      <xdr:nvSpPr>
        <xdr:cNvPr id="136" name="TextBox 135">
          <a:extLst>
            <a:ext uri="{FF2B5EF4-FFF2-40B4-BE49-F238E27FC236}">
              <a16:creationId xmlns:a16="http://schemas.microsoft.com/office/drawing/2014/main" id="{E9B4B1DF-5A8F-440B-2E87-834528438E62}"/>
            </a:ext>
          </a:extLst>
        </xdr:cNvPr>
        <xdr:cNvSpPr txBox="1"/>
      </xdr:nvSpPr>
      <xdr:spPr>
        <a:xfrm>
          <a:off x="858050" y="181379"/>
          <a:ext cx="1207964" cy="329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baseline="0">
              <a:solidFill>
                <a:srgbClr val="E5B344"/>
              </a:solidFill>
            </a:rPr>
            <a:t>HR</a:t>
          </a:r>
        </a:p>
      </xdr:txBody>
    </xdr:sp>
    <xdr:clientData/>
  </xdr:twoCellAnchor>
  <xdr:twoCellAnchor>
    <xdr:from>
      <xdr:col>1</xdr:col>
      <xdr:colOff>245952</xdr:colOff>
      <xdr:row>2</xdr:row>
      <xdr:rowOff>87900</xdr:rowOff>
    </xdr:from>
    <xdr:to>
      <xdr:col>3</xdr:col>
      <xdr:colOff>361637</xdr:colOff>
      <xdr:row>4</xdr:row>
      <xdr:rowOff>67210</xdr:rowOff>
    </xdr:to>
    <xdr:sp macro="" textlink="">
      <xdr:nvSpPr>
        <xdr:cNvPr id="137" name="TextBox 136">
          <a:extLst>
            <a:ext uri="{FF2B5EF4-FFF2-40B4-BE49-F238E27FC236}">
              <a16:creationId xmlns:a16="http://schemas.microsoft.com/office/drawing/2014/main" id="{6032652A-8965-5F1E-390E-C7703A7A36DC}"/>
            </a:ext>
          </a:extLst>
        </xdr:cNvPr>
        <xdr:cNvSpPr txBox="1"/>
      </xdr:nvSpPr>
      <xdr:spPr>
        <a:xfrm>
          <a:off x="858050" y="437670"/>
          <a:ext cx="1339882" cy="32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1" baseline="0">
              <a:solidFill>
                <a:srgbClr val="E5B344"/>
              </a:solidFill>
            </a:rPr>
            <a:t>Dashboard</a:t>
          </a:r>
        </a:p>
      </xdr:txBody>
    </xdr:sp>
    <xdr:clientData/>
  </xdr:twoCellAnchor>
  <xdr:twoCellAnchor>
    <xdr:from>
      <xdr:col>1</xdr:col>
      <xdr:colOff>245952</xdr:colOff>
      <xdr:row>3</xdr:row>
      <xdr:rowOff>137383</xdr:rowOff>
    </xdr:from>
    <xdr:to>
      <xdr:col>5</xdr:col>
      <xdr:colOff>515716</xdr:colOff>
      <xdr:row>5</xdr:row>
      <xdr:rowOff>78691</xdr:rowOff>
    </xdr:to>
    <xdr:sp macro="" textlink="">
      <xdr:nvSpPr>
        <xdr:cNvPr id="138" name="TextBox 137">
          <a:extLst>
            <a:ext uri="{FF2B5EF4-FFF2-40B4-BE49-F238E27FC236}">
              <a16:creationId xmlns:a16="http://schemas.microsoft.com/office/drawing/2014/main" id="{7623B01B-ED4F-217D-C3E0-C504D1C4174C}"/>
            </a:ext>
          </a:extLst>
        </xdr:cNvPr>
        <xdr:cNvSpPr txBox="1"/>
      </xdr:nvSpPr>
      <xdr:spPr>
        <a:xfrm>
          <a:off x="858050" y="662039"/>
          <a:ext cx="2718158" cy="29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baseline="0">
              <a:solidFill>
                <a:schemeClr val="bg2">
                  <a:lumMod val="75000"/>
                </a:schemeClr>
              </a:solidFill>
            </a:rPr>
            <a:t>Analyze and monitor the HR department</a:t>
          </a:r>
        </a:p>
      </xdr:txBody>
    </xdr:sp>
    <xdr:clientData/>
  </xdr:twoCellAnchor>
  <xdr:twoCellAnchor editAs="oneCell">
    <xdr:from>
      <xdr:col>5</xdr:col>
      <xdr:colOff>41886</xdr:colOff>
      <xdr:row>1</xdr:row>
      <xdr:rowOff>39026</xdr:rowOff>
    </xdr:from>
    <xdr:to>
      <xdr:col>8</xdr:col>
      <xdr:colOff>39046</xdr:colOff>
      <xdr:row>4</xdr:row>
      <xdr:rowOff>171315</xdr:rowOff>
    </xdr:to>
    <mc:AlternateContent xmlns:mc="http://schemas.openxmlformats.org/markup-compatibility/2006" xmlns:a14="http://schemas.microsoft.com/office/drawing/2010/main">
      <mc:Choice Requires="a14">
        <xdr:graphicFrame macro="">
          <xdr:nvGraphicFramePr>
            <xdr:cNvPr id="139" name="Gender">
              <a:extLst>
                <a:ext uri="{FF2B5EF4-FFF2-40B4-BE49-F238E27FC236}">
                  <a16:creationId xmlns:a16="http://schemas.microsoft.com/office/drawing/2014/main" id="{8FD34ECF-65FC-44E9-BD25-EA1F9C6A85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11053" y="218943"/>
              <a:ext cx="1838660" cy="67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109492</xdr:colOff>
      <xdr:row>1</xdr:row>
      <xdr:rowOff>41320</xdr:rowOff>
    </xdr:from>
    <xdr:to>
      <xdr:col>12</xdr:col>
      <xdr:colOff>324135</xdr:colOff>
      <xdr:row>6</xdr:row>
      <xdr:rowOff>122217</xdr:rowOff>
    </xdr:to>
    <mc:AlternateContent xmlns:mc="http://schemas.openxmlformats.org/markup-compatibility/2006" xmlns:a14="http://schemas.microsoft.com/office/drawing/2010/main">
      <mc:Choice Requires="a14">
        <xdr:graphicFrame macro="">
          <xdr:nvGraphicFramePr>
            <xdr:cNvPr id="140" name="Department">
              <a:extLst>
                <a:ext uri="{FF2B5EF4-FFF2-40B4-BE49-F238E27FC236}">
                  <a16:creationId xmlns:a16="http://schemas.microsoft.com/office/drawing/2014/main" id="{0E246C55-9BC4-42B8-89B5-DAEE94247C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20159" y="221237"/>
              <a:ext cx="2669976" cy="980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234052</xdr:colOff>
      <xdr:row>1</xdr:row>
      <xdr:rowOff>41128</xdr:rowOff>
    </xdr:from>
    <xdr:to>
      <xdr:col>10</xdr:col>
      <xdr:colOff>492325</xdr:colOff>
      <xdr:row>2</xdr:row>
      <xdr:rowOff>158842</xdr:rowOff>
    </xdr:to>
    <xdr:sp macro="" textlink="">
      <xdr:nvSpPr>
        <xdr:cNvPr id="142" name="TextBox 141">
          <a:extLst>
            <a:ext uri="{FF2B5EF4-FFF2-40B4-BE49-F238E27FC236}">
              <a16:creationId xmlns:a16="http://schemas.microsoft.com/office/drawing/2014/main" id="{60E41AC4-E723-16BA-2241-7A1ADB73E856}"/>
            </a:ext>
          </a:extLst>
        </xdr:cNvPr>
        <xdr:cNvSpPr txBox="1"/>
      </xdr:nvSpPr>
      <xdr:spPr>
        <a:xfrm>
          <a:off x="5104876" y="216687"/>
          <a:ext cx="1475978" cy="29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lumMod val="85000"/>
                </a:schemeClr>
              </a:solidFill>
            </a:rPr>
            <a:t>Filter by department</a:t>
          </a:r>
        </a:p>
      </xdr:txBody>
    </xdr:sp>
    <xdr:clientData/>
  </xdr:twoCellAnchor>
  <xdr:twoCellAnchor>
    <xdr:from>
      <xdr:col>8</xdr:col>
      <xdr:colOff>203017</xdr:colOff>
      <xdr:row>1</xdr:row>
      <xdr:rowOff>135800</xdr:rowOff>
    </xdr:from>
    <xdr:to>
      <xdr:col>8</xdr:col>
      <xdr:colOff>288068</xdr:colOff>
      <xdr:row>2</xdr:row>
      <xdr:rowOff>47476</xdr:rowOff>
    </xdr:to>
    <xdr:sp macro="" textlink="">
      <xdr:nvSpPr>
        <xdr:cNvPr id="143" name="Oval 142">
          <a:extLst>
            <a:ext uri="{FF2B5EF4-FFF2-40B4-BE49-F238E27FC236}">
              <a16:creationId xmlns:a16="http://schemas.microsoft.com/office/drawing/2014/main" id="{C75181E1-3314-B371-4D13-A8D5689F76C9}"/>
            </a:ext>
          </a:extLst>
        </xdr:cNvPr>
        <xdr:cNvSpPr/>
      </xdr:nvSpPr>
      <xdr:spPr>
        <a:xfrm>
          <a:off x="5073841" y="311359"/>
          <a:ext cx="85051" cy="87235"/>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158599</xdr:colOff>
      <xdr:row>1</xdr:row>
      <xdr:rowOff>25439</xdr:rowOff>
    </xdr:from>
    <xdr:to>
      <xdr:col>7</xdr:col>
      <xdr:colOff>416871</xdr:colOff>
      <xdr:row>2</xdr:row>
      <xdr:rowOff>143153</xdr:rowOff>
    </xdr:to>
    <xdr:sp macro="" textlink="">
      <xdr:nvSpPr>
        <xdr:cNvPr id="144" name="TextBox 143">
          <a:extLst>
            <a:ext uri="{FF2B5EF4-FFF2-40B4-BE49-F238E27FC236}">
              <a16:creationId xmlns:a16="http://schemas.microsoft.com/office/drawing/2014/main" id="{7FF05957-B9AE-50C9-CDA8-F1518DCF59BA}"/>
            </a:ext>
          </a:extLst>
        </xdr:cNvPr>
        <xdr:cNvSpPr txBox="1"/>
      </xdr:nvSpPr>
      <xdr:spPr>
        <a:xfrm>
          <a:off x="3202864" y="200998"/>
          <a:ext cx="1475978" cy="29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lumMod val="85000"/>
                </a:schemeClr>
              </a:solidFill>
            </a:rPr>
            <a:t>Filter by gender</a:t>
          </a:r>
        </a:p>
      </xdr:txBody>
    </xdr:sp>
    <xdr:clientData/>
  </xdr:twoCellAnchor>
  <xdr:twoCellAnchor>
    <xdr:from>
      <xdr:col>5</xdr:col>
      <xdr:colOff>127564</xdr:colOff>
      <xdr:row>1</xdr:row>
      <xdr:rowOff>120111</xdr:rowOff>
    </xdr:from>
    <xdr:to>
      <xdr:col>5</xdr:col>
      <xdr:colOff>212615</xdr:colOff>
      <xdr:row>2</xdr:row>
      <xdr:rowOff>31787</xdr:rowOff>
    </xdr:to>
    <xdr:sp macro="" textlink="">
      <xdr:nvSpPr>
        <xdr:cNvPr id="145" name="Oval 144">
          <a:extLst>
            <a:ext uri="{FF2B5EF4-FFF2-40B4-BE49-F238E27FC236}">
              <a16:creationId xmlns:a16="http://schemas.microsoft.com/office/drawing/2014/main" id="{5623E5DB-C8DA-C949-BDC8-1634BB9B7BF7}"/>
            </a:ext>
          </a:extLst>
        </xdr:cNvPr>
        <xdr:cNvSpPr/>
      </xdr:nvSpPr>
      <xdr:spPr>
        <a:xfrm>
          <a:off x="3171829" y="295670"/>
          <a:ext cx="85051" cy="87235"/>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340692</xdr:colOff>
      <xdr:row>0</xdr:row>
      <xdr:rowOff>105680</xdr:rowOff>
    </xdr:from>
    <xdr:to>
      <xdr:col>1</xdr:col>
      <xdr:colOff>266979</xdr:colOff>
      <xdr:row>5</xdr:row>
      <xdr:rowOff>88992</xdr:rowOff>
    </xdr:to>
    <xdr:grpSp>
      <xdr:nvGrpSpPr>
        <xdr:cNvPr id="150" name="Group 149">
          <a:extLst>
            <a:ext uri="{FF2B5EF4-FFF2-40B4-BE49-F238E27FC236}">
              <a16:creationId xmlns:a16="http://schemas.microsoft.com/office/drawing/2014/main" id="{1F31A273-9821-440D-B2DD-17E4C4483DE0}"/>
            </a:ext>
          </a:extLst>
        </xdr:cNvPr>
        <xdr:cNvGrpSpPr/>
      </xdr:nvGrpSpPr>
      <xdr:grpSpPr>
        <a:xfrm>
          <a:off x="340692" y="105680"/>
          <a:ext cx="535887" cy="859612"/>
          <a:chOff x="10743718" y="707573"/>
          <a:chExt cx="1084393" cy="1579567"/>
        </a:xfrm>
      </xdr:grpSpPr>
      <xdr:pic>
        <xdr:nvPicPr>
          <xdr:cNvPr id="147" name="Graphic 146" descr="Users with solid fill">
            <a:extLst>
              <a:ext uri="{FF2B5EF4-FFF2-40B4-BE49-F238E27FC236}">
                <a16:creationId xmlns:a16="http://schemas.microsoft.com/office/drawing/2014/main" id="{2A127A29-57FE-E2A8-7815-4CC1D4C384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955696" y="1523995"/>
            <a:ext cx="738674" cy="763145"/>
          </a:xfrm>
          <a:prstGeom prst="rect">
            <a:avLst/>
          </a:prstGeom>
        </xdr:spPr>
      </xdr:pic>
      <xdr:pic>
        <xdr:nvPicPr>
          <xdr:cNvPr id="149" name="Graphic 148" descr="City with solid fill">
            <a:extLst>
              <a:ext uri="{FF2B5EF4-FFF2-40B4-BE49-F238E27FC236}">
                <a16:creationId xmlns:a16="http://schemas.microsoft.com/office/drawing/2014/main" id="{CABA2F37-3DF9-600A-CA4F-D4ED49F662A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743718" y="707573"/>
            <a:ext cx="1084393" cy="1120317"/>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t" refreshedDate="45892.60080162037" createdVersion="8" refreshedVersion="8" minRefreshableVersion="3" recordCount="50" xr:uid="{237B51A9-DED6-4300-A80F-5EA744DE1379}">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ount="5">
        <n v="1"/>
        <n v="4"/>
        <n v="2"/>
        <n v="3"/>
        <n v="5"/>
      </sharedItems>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938135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s v="Luis Reynolds"/>
    <s v="2019-03-15"/>
    <x v="0"/>
    <x v="0"/>
    <n v="53700"/>
    <s v="C"/>
    <n v="1463"/>
    <s v="Health"/>
    <n v="1"/>
    <x v="0"/>
    <s v="Leadership Training"/>
    <x v="0"/>
    <s v="Certified Professional"/>
  </r>
  <r>
    <n v="9116"/>
    <x v="1"/>
    <x v="1"/>
    <n v="27"/>
    <x v="1"/>
    <x v="1"/>
    <x v="1"/>
    <x v="1"/>
    <s v="Ashley Simmons MD"/>
    <s v="2022-12-20"/>
    <x v="0"/>
    <x v="1"/>
    <n v="91091"/>
    <s v="B"/>
    <n v="1024"/>
    <s v="None"/>
    <n v="19"/>
    <x v="1"/>
    <s v="Excel Workshop"/>
    <x v="0"/>
    <s v="Certified Professional"/>
  </r>
  <r>
    <n v="5120"/>
    <x v="2"/>
    <x v="1"/>
    <n v="34"/>
    <x v="1"/>
    <x v="2"/>
    <x v="2"/>
    <x v="2"/>
    <s v="Cassandra Duncan"/>
    <s v="2022-08-10"/>
    <x v="0"/>
    <x v="2"/>
    <n v="57538"/>
    <s v="D"/>
    <n v="1674"/>
    <s v="None"/>
    <n v="8"/>
    <x v="0"/>
    <s v="None"/>
    <x v="1"/>
    <s v="Advanced Training"/>
  </r>
  <r>
    <n v="8071"/>
    <x v="3"/>
    <x v="0"/>
    <n v="41"/>
    <x v="2"/>
    <x v="2"/>
    <x v="0"/>
    <x v="3"/>
    <s v="Janet Harris"/>
    <s v="2024-09-03"/>
    <x v="1"/>
    <x v="0"/>
    <n v="62993"/>
    <s v="A"/>
    <n v="2695"/>
    <s v="Health + Dental"/>
    <n v="0"/>
    <x v="2"/>
    <s v="None"/>
    <x v="2"/>
    <s v="None"/>
  </r>
  <r>
    <n v="9351"/>
    <x v="4"/>
    <x v="1"/>
    <n v="56"/>
    <x v="3"/>
    <x v="0"/>
    <x v="0"/>
    <x v="2"/>
    <s v="Mr. Frank Clay"/>
    <s v="2019-03-14"/>
    <x v="1"/>
    <x v="1"/>
    <n v="45773"/>
    <s v="A"/>
    <n v="8776"/>
    <s v="Health"/>
    <n v="16"/>
    <x v="1"/>
    <s v="Leadership Training"/>
    <x v="2"/>
    <s v="None"/>
  </r>
  <r>
    <n v="2873"/>
    <x v="5"/>
    <x v="0"/>
    <n v="28"/>
    <x v="1"/>
    <x v="2"/>
    <x v="3"/>
    <x v="2"/>
    <s v="Dorothy Price"/>
    <s v="2017-01-23"/>
    <x v="0"/>
    <x v="1"/>
    <n v="96249"/>
    <s v="C"/>
    <n v="4826"/>
    <s v="Health + Dental"/>
    <n v="7"/>
    <x v="3"/>
    <s v="Leadership Training"/>
    <x v="3"/>
    <s v="Certified Professional"/>
  </r>
  <r>
    <n v="3540"/>
    <x v="6"/>
    <x v="0"/>
    <n v="20"/>
    <x v="0"/>
    <x v="1"/>
    <x v="2"/>
    <x v="2"/>
    <s v="Michele Sexton"/>
    <s v="2024-08-17"/>
    <x v="0"/>
    <x v="2"/>
    <n v="61596"/>
    <s v="C"/>
    <n v="8818"/>
    <s v="Health + Dental"/>
    <n v="4"/>
    <x v="2"/>
    <s v="Leadership Training"/>
    <x v="1"/>
    <s v="None"/>
  </r>
  <r>
    <n v="3653"/>
    <x v="7"/>
    <x v="0"/>
    <n v="58"/>
    <x v="3"/>
    <x v="3"/>
    <x v="1"/>
    <x v="4"/>
    <s v="Richard Schmidt"/>
    <s v="2014-12-09"/>
    <x v="0"/>
    <x v="2"/>
    <n v="97869"/>
    <s v="A"/>
    <n v="1966"/>
    <s v="Health"/>
    <n v="10"/>
    <x v="0"/>
    <s v="Leadership Training"/>
    <x v="0"/>
    <s v="Certified Professional"/>
  </r>
  <r>
    <n v="5587"/>
    <x v="8"/>
    <x v="0"/>
    <n v="44"/>
    <x v="2"/>
    <x v="3"/>
    <x v="2"/>
    <x v="2"/>
    <s v="Teresa Pearson"/>
    <s v="2021-06-28"/>
    <x v="0"/>
    <x v="0"/>
    <n v="81235"/>
    <s v="A"/>
    <n v="6553"/>
    <s v="None"/>
    <n v="16"/>
    <x v="2"/>
    <s v="None"/>
    <x v="1"/>
    <s v="Certified Professional"/>
  </r>
  <r>
    <n v="9554"/>
    <x v="9"/>
    <x v="0"/>
    <n v="29"/>
    <x v="1"/>
    <x v="1"/>
    <x v="2"/>
    <x v="3"/>
    <s v="Laura Hart"/>
    <s v="2018-05-20"/>
    <x v="0"/>
    <x v="1"/>
    <n v="87852"/>
    <s v="A"/>
    <n v="4980"/>
    <s v="Health + Dental"/>
    <n v="19"/>
    <x v="3"/>
    <s v="None"/>
    <x v="2"/>
    <s v="Certified Professional"/>
  </r>
  <r>
    <n v="6213"/>
    <x v="10"/>
    <x v="1"/>
    <n v="23"/>
    <x v="0"/>
    <x v="3"/>
    <x v="0"/>
    <x v="2"/>
    <s v="Andrea May"/>
    <s v="2017-02-13"/>
    <x v="1"/>
    <x v="1"/>
    <n v="59359"/>
    <s v="A"/>
    <n v="9449"/>
    <s v="Health + Dental"/>
    <n v="20"/>
    <x v="3"/>
    <s v="None"/>
    <x v="1"/>
    <s v="None"/>
  </r>
  <r>
    <n v="9105"/>
    <x v="11"/>
    <x v="1"/>
    <n v="30"/>
    <x v="1"/>
    <x v="0"/>
    <x v="1"/>
    <x v="0"/>
    <s v="Casey Martin"/>
    <s v="2024-05-05"/>
    <x v="1"/>
    <x v="2"/>
    <n v="81225"/>
    <s v="D"/>
    <n v="6202"/>
    <s v="Health + Dental"/>
    <n v="2"/>
    <x v="2"/>
    <s v="Excel Workshop"/>
    <x v="4"/>
    <s v="Certified Professional"/>
  </r>
  <r>
    <n v="9508"/>
    <x v="12"/>
    <x v="0"/>
    <n v="49"/>
    <x v="4"/>
    <x v="1"/>
    <x v="0"/>
    <x v="0"/>
    <s v="Amber Allen"/>
    <s v="2022-04-19"/>
    <x v="1"/>
    <x v="0"/>
    <n v="32788"/>
    <s v="D"/>
    <n v="4396"/>
    <s v="Health"/>
    <n v="13"/>
    <x v="4"/>
    <s v="None"/>
    <x v="3"/>
    <s v="Advanced Training"/>
  </r>
  <r>
    <n v="2436"/>
    <x v="13"/>
    <x v="1"/>
    <n v="60"/>
    <x v="3"/>
    <x v="4"/>
    <x v="0"/>
    <x v="3"/>
    <s v="Adam Johnson"/>
    <s v="2015-11-16"/>
    <x v="1"/>
    <x v="2"/>
    <n v="70452"/>
    <s v="D"/>
    <n v="9911"/>
    <s v="None"/>
    <n v="2"/>
    <x v="0"/>
    <s v="None"/>
    <x v="3"/>
    <s v="Certified Professional"/>
  </r>
  <r>
    <n v="4441"/>
    <x v="14"/>
    <x v="1"/>
    <n v="46"/>
    <x v="4"/>
    <x v="1"/>
    <x v="3"/>
    <x v="0"/>
    <s v="Nicole Dominguez"/>
    <s v="2023-09-09"/>
    <x v="0"/>
    <x v="1"/>
    <n v="33045"/>
    <s v="B"/>
    <n v="1456"/>
    <s v="None"/>
    <n v="16"/>
    <x v="3"/>
    <s v="Excel Workshop"/>
    <x v="3"/>
    <s v="None"/>
  </r>
  <r>
    <n v="5827"/>
    <x v="15"/>
    <x v="1"/>
    <n v="57"/>
    <x v="3"/>
    <x v="2"/>
    <x v="3"/>
    <x v="1"/>
    <s v="Andrew Best"/>
    <s v="2017-12-12"/>
    <x v="2"/>
    <x v="2"/>
    <n v="96429"/>
    <s v="C"/>
    <n v="4740"/>
    <s v="None"/>
    <n v="8"/>
    <x v="0"/>
    <s v="Excel Workshop"/>
    <x v="2"/>
    <s v="None"/>
  </r>
  <r>
    <n v="5184"/>
    <x v="16"/>
    <x v="0"/>
    <n v="24"/>
    <x v="0"/>
    <x v="1"/>
    <x v="2"/>
    <x v="2"/>
    <s v="Gabrielle Rodriguez"/>
    <s v="2017-03-10"/>
    <x v="2"/>
    <x v="2"/>
    <n v="33183"/>
    <s v="A"/>
    <n v="8114"/>
    <s v="None"/>
    <n v="4"/>
    <x v="2"/>
    <s v="Excel Workshop"/>
    <x v="4"/>
    <s v="Advanced Training"/>
  </r>
  <r>
    <n v="5874"/>
    <x v="3"/>
    <x v="0"/>
    <n v="35"/>
    <x v="1"/>
    <x v="4"/>
    <x v="3"/>
    <x v="0"/>
    <s v="Allison Harvey"/>
    <s v="2019-03-04"/>
    <x v="2"/>
    <x v="0"/>
    <n v="75065"/>
    <s v="C"/>
    <n v="7123"/>
    <s v="None"/>
    <n v="20"/>
    <x v="2"/>
    <s v="None"/>
    <x v="0"/>
    <s v="Advanced Training"/>
  </r>
  <r>
    <n v="9834"/>
    <x v="17"/>
    <x v="1"/>
    <n v="41"/>
    <x v="2"/>
    <x v="1"/>
    <x v="1"/>
    <x v="4"/>
    <s v="Tristan Mejia"/>
    <s v="2022-11-20"/>
    <x v="0"/>
    <x v="2"/>
    <n v="32877"/>
    <s v="C"/>
    <n v="6432"/>
    <s v="Health"/>
    <n v="11"/>
    <x v="0"/>
    <s v="None"/>
    <x v="0"/>
    <s v="None"/>
  </r>
  <r>
    <n v="5096"/>
    <x v="18"/>
    <x v="1"/>
    <n v="36"/>
    <x v="2"/>
    <x v="1"/>
    <x v="4"/>
    <x v="3"/>
    <s v="Mary Welch"/>
    <s v="2021-03-02"/>
    <x v="0"/>
    <x v="1"/>
    <n v="46811"/>
    <s v="D"/>
    <n v="1567"/>
    <s v="None"/>
    <n v="7"/>
    <x v="3"/>
    <s v="Excel Workshop"/>
    <x v="0"/>
    <s v="Advanced Training"/>
  </r>
  <r>
    <n v="2263"/>
    <x v="19"/>
    <x v="1"/>
    <n v="31"/>
    <x v="1"/>
    <x v="3"/>
    <x v="2"/>
    <x v="1"/>
    <s v="Douglas Miles"/>
    <s v="2021-08-01"/>
    <x v="1"/>
    <x v="1"/>
    <n v="87538"/>
    <s v="C"/>
    <n v="3588"/>
    <s v="Health + Dental"/>
    <n v="11"/>
    <x v="4"/>
    <s v="Excel Workshop"/>
    <x v="2"/>
    <s v="None"/>
  </r>
  <r>
    <n v="6505"/>
    <x v="20"/>
    <x v="0"/>
    <n v="28"/>
    <x v="1"/>
    <x v="0"/>
    <x v="1"/>
    <x v="4"/>
    <s v="Jessica Fleming"/>
    <s v="2015-08-14"/>
    <x v="0"/>
    <x v="1"/>
    <n v="73002"/>
    <s v="C"/>
    <n v="6296"/>
    <s v="Health"/>
    <n v="2"/>
    <x v="4"/>
    <s v="Excel Workshop"/>
    <x v="1"/>
    <s v="Certified Professional"/>
  </r>
  <r>
    <n v="8626"/>
    <x v="21"/>
    <x v="1"/>
    <n v="37"/>
    <x v="2"/>
    <x v="3"/>
    <x v="1"/>
    <x v="3"/>
    <s v="Christine Lee"/>
    <s v="2015-10-21"/>
    <x v="2"/>
    <x v="2"/>
    <n v="41653"/>
    <s v="D"/>
    <n v="9236"/>
    <s v="None"/>
    <n v="13"/>
    <x v="0"/>
    <s v="Excel Workshop"/>
    <x v="0"/>
    <s v="None"/>
  </r>
  <r>
    <n v="5979"/>
    <x v="22"/>
    <x v="0"/>
    <n v="31"/>
    <x v="1"/>
    <x v="0"/>
    <x v="0"/>
    <x v="2"/>
    <s v="Mario Smith DVM"/>
    <s v="2015-03-14"/>
    <x v="1"/>
    <x v="1"/>
    <n v="67582"/>
    <s v="A"/>
    <n v="1375"/>
    <s v="Health"/>
    <n v="20"/>
    <x v="3"/>
    <s v="Excel Workshop"/>
    <x v="1"/>
    <s v="None"/>
  </r>
  <r>
    <n v="3104"/>
    <x v="23"/>
    <x v="0"/>
    <n v="23"/>
    <x v="0"/>
    <x v="3"/>
    <x v="1"/>
    <x v="1"/>
    <s v="Joseph Francis"/>
    <s v="2024-05-22"/>
    <x v="2"/>
    <x v="1"/>
    <n v="37351"/>
    <s v="D"/>
    <n v="7858"/>
    <s v="Health + Dental"/>
    <n v="18"/>
    <x v="2"/>
    <s v="Leadership Training"/>
    <x v="1"/>
    <s v="Advanced Training"/>
  </r>
  <r>
    <n v="8967"/>
    <x v="24"/>
    <x v="0"/>
    <n v="48"/>
    <x v="4"/>
    <x v="4"/>
    <x v="2"/>
    <x v="0"/>
    <s v="Sarah Young"/>
    <s v="2017-03-19"/>
    <x v="0"/>
    <x v="1"/>
    <n v="36721"/>
    <s v="B"/>
    <n v="8820"/>
    <s v="Health + Dental"/>
    <n v="0"/>
    <x v="2"/>
    <s v="Excel Workshop"/>
    <x v="1"/>
    <s v="Certified Professional"/>
  </r>
  <r>
    <n v="5087"/>
    <x v="25"/>
    <x v="1"/>
    <n v="28"/>
    <x v="1"/>
    <x v="2"/>
    <x v="4"/>
    <x v="0"/>
    <s v="Aaron Hart"/>
    <s v="2021-09-15"/>
    <x v="1"/>
    <x v="2"/>
    <n v="46326"/>
    <s v="B"/>
    <n v="9189"/>
    <s v="Health + Dental"/>
    <n v="8"/>
    <x v="1"/>
    <s v="Leadership Training"/>
    <x v="3"/>
    <s v="Advanced Training"/>
  </r>
  <r>
    <n v="3358"/>
    <x v="26"/>
    <x v="1"/>
    <n v="30"/>
    <x v="1"/>
    <x v="1"/>
    <x v="3"/>
    <x v="1"/>
    <s v="Brian Boyd"/>
    <s v="2022-05-09"/>
    <x v="0"/>
    <x v="0"/>
    <n v="59007"/>
    <s v="C"/>
    <n v="3380"/>
    <s v="Health"/>
    <n v="17"/>
    <x v="3"/>
    <s v="None"/>
    <x v="4"/>
    <s v="Certified Professional"/>
  </r>
  <r>
    <n v="8256"/>
    <x v="27"/>
    <x v="1"/>
    <n v="46"/>
    <x v="4"/>
    <x v="3"/>
    <x v="0"/>
    <x v="3"/>
    <s v="Steven Krueger"/>
    <s v="2017-06-22"/>
    <x v="0"/>
    <x v="1"/>
    <n v="52020"/>
    <s v="B"/>
    <n v="9585"/>
    <s v="Health + Dental"/>
    <n v="0"/>
    <x v="1"/>
    <s v="Excel Workshop"/>
    <x v="4"/>
    <s v="None"/>
  </r>
  <r>
    <n v="5763"/>
    <x v="28"/>
    <x v="1"/>
    <n v="44"/>
    <x v="2"/>
    <x v="1"/>
    <x v="2"/>
    <x v="1"/>
    <s v="Debra Williams"/>
    <s v="2020-11-28"/>
    <x v="2"/>
    <x v="1"/>
    <n v="98961"/>
    <s v="D"/>
    <n v="2688"/>
    <s v="Health"/>
    <n v="2"/>
    <x v="4"/>
    <s v="Excel Workshop"/>
    <x v="4"/>
    <s v="Certified Professional"/>
  </r>
  <r>
    <n v="6838"/>
    <x v="29"/>
    <x v="1"/>
    <n v="45"/>
    <x v="2"/>
    <x v="2"/>
    <x v="3"/>
    <x v="2"/>
    <s v="Karen Mitchell"/>
    <s v="2015-08-30"/>
    <x v="2"/>
    <x v="1"/>
    <n v="81943"/>
    <s v="C"/>
    <n v="2255"/>
    <s v="Health"/>
    <n v="18"/>
    <x v="2"/>
    <s v="None"/>
    <x v="2"/>
    <s v="Certified Professional"/>
  </r>
  <r>
    <n v="9544"/>
    <x v="30"/>
    <x v="1"/>
    <n v="52"/>
    <x v="4"/>
    <x v="4"/>
    <x v="2"/>
    <x v="1"/>
    <s v="Joseph Sanders"/>
    <s v="2018-10-27"/>
    <x v="2"/>
    <x v="1"/>
    <n v="47627"/>
    <s v="C"/>
    <n v="1221"/>
    <s v="None"/>
    <n v="4"/>
    <x v="3"/>
    <s v="None"/>
    <x v="1"/>
    <s v="None"/>
  </r>
  <r>
    <n v="8012"/>
    <x v="31"/>
    <x v="0"/>
    <n v="52"/>
    <x v="4"/>
    <x v="0"/>
    <x v="0"/>
    <x v="4"/>
    <s v="Shelly George"/>
    <s v="2018-08-26"/>
    <x v="2"/>
    <x v="1"/>
    <n v="56162"/>
    <s v="D"/>
    <n v="6560"/>
    <s v="Health + Dental"/>
    <n v="9"/>
    <x v="1"/>
    <s v="Excel Workshop"/>
    <x v="3"/>
    <s v="None"/>
  </r>
  <r>
    <n v="9374"/>
    <x v="32"/>
    <x v="0"/>
    <n v="42"/>
    <x v="2"/>
    <x v="1"/>
    <x v="2"/>
    <x v="2"/>
    <s v="Nicole Houston"/>
    <s v="2023-07-24"/>
    <x v="1"/>
    <x v="2"/>
    <n v="95734"/>
    <s v="C"/>
    <n v="4854"/>
    <s v="Health"/>
    <n v="13"/>
    <x v="2"/>
    <s v="Leadership Training"/>
    <x v="0"/>
    <s v="Certified Professional"/>
  </r>
  <r>
    <n v="3487"/>
    <x v="33"/>
    <x v="1"/>
    <n v="58"/>
    <x v="3"/>
    <x v="1"/>
    <x v="1"/>
    <x v="3"/>
    <s v="Kristin Shaffer"/>
    <s v="2018-07-09"/>
    <x v="1"/>
    <x v="2"/>
    <n v="74789"/>
    <s v="C"/>
    <n v="8101"/>
    <s v="Health + Dental"/>
    <n v="14"/>
    <x v="4"/>
    <s v="Excel Workshop"/>
    <x v="2"/>
    <s v="None"/>
  </r>
  <r>
    <n v="8445"/>
    <x v="34"/>
    <x v="0"/>
    <n v="24"/>
    <x v="0"/>
    <x v="4"/>
    <x v="0"/>
    <x v="3"/>
    <s v="Joel Aguilar"/>
    <s v="2016-12-21"/>
    <x v="0"/>
    <x v="2"/>
    <n v="30137"/>
    <s v="B"/>
    <n v="4031"/>
    <s v="None"/>
    <n v="5"/>
    <x v="3"/>
    <s v="None"/>
    <x v="1"/>
    <s v="Certified Professional"/>
  </r>
  <r>
    <n v="1550"/>
    <x v="35"/>
    <x v="1"/>
    <n v="21"/>
    <x v="0"/>
    <x v="1"/>
    <x v="0"/>
    <x v="0"/>
    <s v="Michael Wade"/>
    <s v="2019-06-27"/>
    <x v="0"/>
    <x v="2"/>
    <n v="95510"/>
    <s v="C"/>
    <n v="6811"/>
    <s v="Health"/>
    <n v="18"/>
    <x v="1"/>
    <s v="Excel Workshop"/>
    <x v="4"/>
    <s v="Certified Professional"/>
  </r>
  <r>
    <n v="9968"/>
    <x v="36"/>
    <x v="1"/>
    <n v="58"/>
    <x v="3"/>
    <x v="1"/>
    <x v="3"/>
    <x v="0"/>
    <s v="Jessica Walsh"/>
    <s v="2021-08-27"/>
    <x v="1"/>
    <x v="0"/>
    <n v="80325"/>
    <s v="B"/>
    <n v="6230"/>
    <s v="Health"/>
    <n v="5"/>
    <x v="1"/>
    <s v="None"/>
    <x v="2"/>
    <s v="Advanced Training"/>
  </r>
  <r>
    <n v="8029"/>
    <x v="37"/>
    <x v="0"/>
    <n v="57"/>
    <x v="3"/>
    <x v="3"/>
    <x v="4"/>
    <x v="4"/>
    <s v="Kelly Mack"/>
    <s v="2017-05-28"/>
    <x v="2"/>
    <x v="1"/>
    <n v="34109"/>
    <s v="B"/>
    <n v="9232"/>
    <s v="Health"/>
    <n v="13"/>
    <x v="3"/>
    <s v="Leadership Training"/>
    <x v="0"/>
    <s v="Certified Professional"/>
  </r>
  <r>
    <n v="8847"/>
    <x v="38"/>
    <x v="1"/>
    <n v="41"/>
    <x v="2"/>
    <x v="3"/>
    <x v="3"/>
    <x v="0"/>
    <s v="John Conley"/>
    <s v="2022-01-30"/>
    <x v="2"/>
    <x v="2"/>
    <n v="73330"/>
    <s v="C"/>
    <n v="2276"/>
    <s v="Health + Dental"/>
    <n v="5"/>
    <x v="0"/>
    <s v="None"/>
    <x v="1"/>
    <s v="Advanced Training"/>
  </r>
  <r>
    <n v="1955"/>
    <x v="39"/>
    <x v="0"/>
    <n v="58"/>
    <x v="3"/>
    <x v="2"/>
    <x v="2"/>
    <x v="1"/>
    <s v="Aaron Baker"/>
    <s v="2017-04-20"/>
    <x v="1"/>
    <x v="2"/>
    <n v="46567"/>
    <s v="A"/>
    <n v="2825"/>
    <s v="Health"/>
    <n v="15"/>
    <x v="3"/>
    <s v="None"/>
    <x v="4"/>
    <s v="Advanced Training"/>
  </r>
  <r>
    <n v="4522"/>
    <x v="40"/>
    <x v="0"/>
    <n v="36"/>
    <x v="2"/>
    <x v="0"/>
    <x v="4"/>
    <x v="0"/>
    <s v="Christopher Bass"/>
    <s v="2019-07-22"/>
    <x v="1"/>
    <x v="1"/>
    <n v="39795"/>
    <s v="A"/>
    <n v="1670"/>
    <s v="None"/>
    <n v="0"/>
    <x v="2"/>
    <s v="Excel Workshop"/>
    <x v="3"/>
    <s v="None"/>
  </r>
  <r>
    <n v="3078"/>
    <x v="41"/>
    <x v="0"/>
    <n v="21"/>
    <x v="0"/>
    <x v="0"/>
    <x v="0"/>
    <x v="4"/>
    <s v="Sean Tucker PhD"/>
    <s v="2018-11-29"/>
    <x v="1"/>
    <x v="2"/>
    <n v="59506"/>
    <s v="A"/>
    <n v="4428"/>
    <s v="Health + Dental"/>
    <n v="0"/>
    <x v="0"/>
    <s v="None"/>
    <x v="3"/>
    <s v="Certified Professional"/>
  </r>
  <r>
    <n v="6357"/>
    <x v="42"/>
    <x v="0"/>
    <n v="46"/>
    <x v="4"/>
    <x v="2"/>
    <x v="1"/>
    <x v="4"/>
    <s v="Jacob Scott"/>
    <s v="2022-11-14"/>
    <x v="1"/>
    <x v="2"/>
    <n v="49058"/>
    <s v="B"/>
    <n v="4396"/>
    <s v="None"/>
    <n v="5"/>
    <x v="0"/>
    <s v="None"/>
    <x v="3"/>
    <s v="None"/>
  </r>
  <r>
    <n v="7951"/>
    <x v="43"/>
    <x v="0"/>
    <n v="36"/>
    <x v="2"/>
    <x v="3"/>
    <x v="2"/>
    <x v="4"/>
    <s v="Joel Park"/>
    <s v="2016-02-23"/>
    <x v="1"/>
    <x v="0"/>
    <n v="98612"/>
    <s v="A"/>
    <n v="1168"/>
    <s v="None"/>
    <n v="9"/>
    <x v="2"/>
    <s v="Excel Workshop"/>
    <x v="0"/>
    <s v="Certified Professional"/>
  </r>
  <r>
    <n v="9228"/>
    <x v="44"/>
    <x v="1"/>
    <n v="41"/>
    <x v="2"/>
    <x v="4"/>
    <x v="3"/>
    <x v="1"/>
    <s v="Russell Marshall"/>
    <s v="2018-05-18"/>
    <x v="2"/>
    <x v="1"/>
    <n v="38201"/>
    <s v="A"/>
    <n v="7111"/>
    <s v="Health"/>
    <n v="8"/>
    <x v="1"/>
    <s v="Leadership Training"/>
    <x v="3"/>
    <s v="None"/>
  </r>
  <r>
    <n v="8988"/>
    <x v="45"/>
    <x v="1"/>
    <n v="25"/>
    <x v="0"/>
    <x v="0"/>
    <x v="2"/>
    <x v="2"/>
    <s v="James Holden"/>
    <s v="2024-03-09"/>
    <x v="2"/>
    <x v="1"/>
    <n v="92919"/>
    <s v="D"/>
    <n v="9497"/>
    <s v="Health"/>
    <n v="7"/>
    <x v="2"/>
    <s v="None"/>
    <x v="3"/>
    <s v="Advanced Training"/>
  </r>
  <r>
    <n v="1952"/>
    <x v="46"/>
    <x v="0"/>
    <n v="29"/>
    <x v="1"/>
    <x v="4"/>
    <x v="0"/>
    <x v="1"/>
    <s v="Thomas Murphy"/>
    <s v="2024-03-27"/>
    <x v="0"/>
    <x v="2"/>
    <n v="45188"/>
    <s v="A"/>
    <n v="9591"/>
    <s v="Health + Dental"/>
    <n v="18"/>
    <x v="3"/>
    <s v="Leadership Training"/>
    <x v="3"/>
    <s v="None"/>
  </r>
  <r>
    <n v="5760"/>
    <x v="47"/>
    <x v="0"/>
    <n v="59"/>
    <x v="3"/>
    <x v="2"/>
    <x v="1"/>
    <x v="0"/>
    <s v="Mark Abbott"/>
    <s v="2019-12-23"/>
    <x v="0"/>
    <x v="1"/>
    <n v="34927"/>
    <s v="D"/>
    <n v="6996"/>
    <s v="Health + Dental"/>
    <n v="16"/>
    <x v="0"/>
    <s v="Excel Workshop"/>
    <x v="0"/>
    <s v="Certified Professional"/>
  </r>
  <r>
    <n v="5742"/>
    <x v="48"/>
    <x v="0"/>
    <n v="27"/>
    <x v="1"/>
    <x v="0"/>
    <x v="2"/>
    <x v="3"/>
    <s v="Robin Lynch"/>
    <s v="2016-08-25"/>
    <x v="0"/>
    <x v="1"/>
    <n v="33183"/>
    <s v="A"/>
    <n v="1659"/>
    <s v="None"/>
    <n v="11"/>
    <x v="0"/>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6ED0CE-73B1-4DBD-9AAB-F74153CD3B9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R11"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E4CAE-34C2-48F8-9D6E-B2142E242F30}" name="Employee Statu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337764-4128-403B-98DD-CE9516582473}" name="Workplac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9"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E7A3E-4073-4CAF-B059-0525C6E118FE}" name="Age Rang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5:L12" firstHeaderRow="1" firstDataRow="2"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1CDEB1-85B2-4B14-8E58-B3CC05A7ED64}" name="Departme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X11" firstHeaderRow="1" firstDataRow="1" firstDataCol="1"/>
  <pivotFields count="21">
    <pivotField showAll="0"/>
    <pivotField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23">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6EBEC3-60CF-41B7-9CB3-AF3E6D691401}" name="Salarie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G11"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7">
    <format dxfId="30">
      <pivotArea type="all" dataOnly="0" outline="0" fieldPosition="0"/>
    </format>
    <format dxfId="29">
      <pivotArea outline="0" collapsedLevelsAreSubtotals="1" fieldPosition="0"/>
    </format>
    <format dxfId="28">
      <pivotArea field="6" type="button" dataOnly="0" labelOnly="1" outline="0" axis="axisRow" fieldPosition="0"/>
    </format>
    <format dxfId="27">
      <pivotArea dataOnly="0" labelOnly="1" fieldPosition="0">
        <references count="1">
          <reference field="6" count="0"/>
        </references>
      </pivotArea>
    </format>
    <format dxfId="26">
      <pivotArea dataOnly="0" labelOnly="1" grandRow="1" outline="0" fieldPosition="0"/>
    </format>
    <format dxfId="25">
      <pivotArea dataOnly="0" labelOnly="1" outline="0" axis="axisValues" fieldPosition="0"/>
    </format>
    <format dxfId="24">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034568-D834-4458-9A7C-BDDE76C6C16D}" name="Reg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5:U11"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6F449C-36AF-43EA-BFA7-9CD6AD3D44B1}" sourceName="Gender">
  <pivotTables>
    <pivotTable tabId="3" name="Salaries"/>
    <pivotTable tabId="3" name="Department"/>
    <pivotTable tabId="3" name="Employee Status"/>
    <pivotTable tabId="3" name="PivotTable1"/>
    <pivotTable tabId="3" name="Region"/>
    <pivotTable tabId="3" name="Workplace"/>
  </pivotTables>
  <data>
    <tabular pivotCacheId="19381357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F47B823-94DB-476E-8E39-5598E08EAEEA}" sourceName="Department">
  <pivotTables>
    <pivotTable tabId="3" name="Salaries"/>
    <pivotTable tabId="3" name="Age Range"/>
    <pivotTable tabId="3" name="Department"/>
    <pivotTable tabId="3" name="Employee Status"/>
    <pivotTable tabId="3" name="PivotTable1"/>
    <pivotTable tabId="3" name="Region"/>
    <pivotTable tabId="3" name="Workplace"/>
  </pivotTables>
  <data>
    <tabular pivotCacheId="1938135743">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A7CF5A7-7EAE-4768-97D9-64B8AA4A1674}" cache="Slicer_Gender" columnCount="2" style="Slicer Style 1" rowHeight="247650"/>
  <slicer name="Department" xr10:uid="{6B66CECB-D91A-4B27-8B8D-BFC91C886CF2}" cache="Slicer_Department" columnCount="3"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2" dataDxfId="21">
  <autoFilter ref="A1:U51" xr:uid="{BD7F130C-4931-4EC9-8AE2-A64F6556D3A3}"/>
  <tableColumns count="21">
    <tableColumn id="1" xr3:uid="{6BDBB43D-1DF4-4FF3-9C56-0E3D699A83FC}" name="Employee ID" dataDxfId="20"/>
    <tableColumn id="2" xr3:uid="{363D91B7-21AD-4B4B-86DE-95D24769EAA5}" name="Full Name" dataDxfId="19"/>
    <tableColumn id="3" xr3:uid="{728245EC-9766-45F5-9851-7FEFEFBE2652}" name="Gender" dataDxfId="18"/>
    <tableColumn id="4" xr3:uid="{DD8A90D1-163F-4B0E-A039-9E7A16AFC106}" name="Age" dataDxfId="17"/>
    <tableColumn id="5" xr3:uid="{0672993B-A00D-49AE-84B7-674089468A17}" name="Age range" dataDxfId="16"/>
    <tableColumn id="6" xr3:uid="{B1ADEE80-60F1-4EE3-B3FB-8484EE6C17B3}" name="Region" dataDxfId="15"/>
    <tableColumn id="7" xr3:uid="{8E0A56EE-3456-4513-ADA0-27F6CAA8C17B}" name="Job Title" dataDxfId="14"/>
    <tableColumn id="8" xr3:uid="{0D9D5DB9-01CB-4300-B0CD-256901621ADC}" name="Department" dataDxfId="13"/>
    <tableColumn id="9" xr3:uid="{9EBDAC3F-6A39-4A78-B562-848691EE3AD1}" name="Manager/Supervisor" dataDxfId="12"/>
    <tableColumn id="10" xr3:uid="{AF849F24-150A-4123-B3F8-A46B4D4F7BC6}" name="Date of Hire" dataDxfId="11"/>
    <tableColumn id="11" xr3:uid="{8C57202E-334A-462A-9C44-E5E2468122E4}" name="Employment Status" dataDxfId="10"/>
    <tableColumn id="12" xr3:uid="{8A07812C-245C-4D55-A210-3AE7E0BB84EB}" name="Work Location" dataDxfId="9"/>
    <tableColumn id="13" xr3:uid="{6441036C-01DD-4130-8E4B-DBA441BCB744}" name="Salary" dataDxfId="8"/>
    <tableColumn id="14" xr3:uid="{ADCF531A-A98E-422C-939D-04D58C2423FB}" name="Pay Grade" dataDxfId="7"/>
    <tableColumn id="15" xr3:uid="{DE922695-AE31-4F31-8F89-61E6E7E646AB}" name="Bonus/Allowances" dataDxfId="6"/>
    <tableColumn id="16" xr3:uid="{62F2B816-9954-4A01-AEDC-4C13B3A2A52F}" name="Insurance Details" dataDxfId="5"/>
    <tableColumn id="17" xr3:uid="{6EFEC335-9B75-45D5-B403-A8A9E557BE24}" name="Leave Taken" dataDxfId="4"/>
    <tableColumn id="18" xr3:uid="{9DA1B78E-154E-42E4-A1BC-FE1CF363DCBA}" name="Performance Rating" dataDxfId="3"/>
    <tableColumn id="19" xr3:uid="{7E4B5E79-5639-4E3A-91A1-D1D8767BB705}" name="Training Programs Attended" dataDxfId="2"/>
    <tableColumn id="20" xr3:uid="{2E731344-8C6D-4001-9E36-F16B80500F61}" name="Skills" dataDxfId="1"/>
    <tableColumn id="21" xr3:uid="{9DCE550B-F788-4423-B330-CAB70C041DFC}" name="Certifica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lumMod val="90000"/>
          </a:schemeClr>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0924-6AA6-459A-BA1E-DC5875898C40}">
  <dimension ref="B3:X25"/>
  <sheetViews>
    <sheetView zoomScale="84" workbookViewId="0">
      <selection activeCell="S10" sqref="S10"/>
    </sheetView>
  </sheetViews>
  <sheetFormatPr defaultRowHeight="14.4"/>
  <cols>
    <col min="1" max="1" width="3.5546875" customWidth="1"/>
    <col min="2" max="2" width="12.88671875" bestFit="1" customWidth="1"/>
    <col min="3" max="3" width="17.21875" bestFit="1" customWidth="1"/>
    <col min="4" max="4" width="3.5546875" customWidth="1"/>
    <col min="5" max="5" width="14.5546875" style="4" bestFit="1" customWidth="1"/>
    <col min="6" max="6" width="14.6640625" style="4" bestFit="1" customWidth="1"/>
    <col min="7" max="7" width="21.109375" bestFit="1" customWidth="1"/>
    <col min="8" max="8" width="3.5546875" customWidth="1"/>
    <col min="9" max="9" width="17.21875" bestFit="1" customWidth="1"/>
    <col min="10" max="10" width="16.109375" bestFit="1" customWidth="1"/>
    <col min="11" max="11" width="5" bestFit="1" customWidth="1"/>
    <col min="12" max="12" width="10.5546875" bestFit="1" customWidth="1"/>
    <col min="13" max="13" width="3.5546875" customWidth="1"/>
    <col min="14" max="14" width="12.88671875" bestFit="1" customWidth="1"/>
    <col min="15" max="15" width="17.21875" bestFit="1" customWidth="1"/>
    <col min="16" max="16" width="3.5546875" customWidth="1"/>
    <col min="17" max="17" width="14.109375" bestFit="1" customWidth="1"/>
    <col min="18" max="18" width="17.21875" bestFit="1" customWidth="1"/>
    <col min="19" max="19" width="3.5546875" customWidth="1"/>
    <col min="20" max="20" width="12.88671875" bestFit="1" customWidth="1"/>
    <col min="21" max="21" width="17.21875" bestFit="1" customWidth="1"/>
    <col min="22" max="22" width="3.5546875" customWidth="1"/>
    <col min="23" max="23" width="12.88671875" bestFit="1" customWidth="1"/>
    <col min="24" max="24" width="27" bestFit="1" customWidth="1"/>
    <col min="25" max="25" width="23.5546875" bestFit="1" customWidth="1"/>
  </cols>
  <sheetData>
    <row r="3" spans="2:24" ht="13.8" customHeight="1">
      <c r="B3" s="19" t="s">
        <v>217</v>
      </c>
      <c r="C3" s="19"/>
      <c r="E3" s="20" t="s">
        <v>220</v>
      </c>
      <c r="F3" s="20"/>
      <c r="I3" s="19" t="s">
        <v>222</v>
      </c>
      <c r="J3" s="19"/>
      <c r="K3" s="19"/>
      <c r="L3" s="19"/>
      <c r="N3" s="19" t="s">
        <v>223</v>
      </c>
      <c r="O3" s="19"/>
      <c r="Q3" s="19" t="s">
        <v>19</v>
      </c>
      <c r="R3" s="19"/>
      <c r="T3" s="19" t="s">
        <v>5</v>
      </c>
      <c r="U3" s="19"/>
      <c r="W3" s="19" t="s">
        <v>7</v>
      </c>
      <c r="X3" s="19"/>
    </row>
    <row r="4" spans="2:24" ht="13.8" customHeight="1"/>
    <row r="5" spans="2:24">
      <c r="B5" s="6" t="s">
        <v>214</v>
      </c>
      <c r="C5" t="s">
        <v>216</v>
      </c>
      <c r="D5" s="8"/>
      <c r="E5" s="9" t="s">
        <v>214</v>
      </c>
      <c r="F5" s="4" t="s">
        <v>219</v>
      </c>
      <c r="G5" s="4" t="s">
        <v>225</v>
      </c>
      <c r="H5" s="4"/>
      <c r="I5" s="6" t="s">
        <v>216</v>
      </c>
      <c r="J5" s="6" t="s">
        <v>221</v>
      </c>
      <c r="N5" s="6" t="s">
        <v>214</v>
      </c>
      <c r="O5" t="s">
        <v>216</v>
      </c>
      <c r="Q5" s="6" t="s">
        <v>214</v>
      </c>
      <c r="R5" t="s">
        <v>216</v>
      </c>
      <c r="T5" s="6" t="s">
        <v>214</v>
      </c>
      <c r="U5" t="s">
        <v>216</v>
      </c>
      <c r="W5" s="6" t="s">
        <v>214</v>
      </c>
      <c r="X5" t="s">
        <v>226</v>
      </c>
    </row>
    <row r="6" spans="2:24">
      <c r="B6" s="7" t="s">
        <v>63</v>
      </c>
      <c r="C6">
        <v>17</v>
      </c>
      <c r="E6" s="10" t="s">
        <v>121</v>
      </c>
      <c r="F6" s="11">
        <v>167041</v>
      </c>
      <c r="G6" s="11">
        <v>28</v>
      </c>
      <c r="H6" s="11"/>
      <c r="I6" s="6" t="s">
        <v>214</v>
      </c>
      <c r="J6" t="s">
        <v>22</v>
      </c>
      <c r="K6" t="s">
        <v>37</v>
      </c>
      <c r="L6" t="s">
        <v>215</v>
      </c>
      <c r="N6" s="7" t="s">
        <v>44</v>
      </c>
      <c r="O6">
        <v>23</v>
      </c>
      <c r="Q6" s="7" t="s">
        <v>75</v>
      </c>
      <c r="R6">
        <v>12</v>
      </c>
      <c r="T6" s="7" t="s">
        <v>39</v>
      </c>
      <c r="U6">
        <v>14</v>
      </c>
      <c r="W6" s="7" t="s">
        <v>26</v>
      </c>
      <c r="X6" s="17">
        <v>2.5833333333333335</v>
      </c>
    </row>
    <row r="7" spans="2:24">
      <c r="B7" s="7" t="s">
        <v>29</v>
      </c>
      <c r="C7">
        <v>20</v>
      </c>
      <c r="E7" s="10" t="s">
        <v>40</v>
      </c>
      <c r="F7" s="11">
        <v>613842</v>
      </c>
      <c r="G7" s="11">
        <v>110</v>
      </c>
      <c r="H7" s="11"/>
      <c r="I7" s="7" t="s">
        <v>23</v>
      </c>
      <c r="J7">
        <v>6</v>
      </c>
      <c r="K7">
        <v>3</v>
      </c>
      <c r="L7">
        <v>9</v>
      </c>
      <c r="N7" s="7" t="s">
        <v>30</v>
      </c>
      <c r="O7">
        <v>8</v>
      </c>
      <c r="Q7" s="7" t="s">
        <v>34</v>
      </c>
      <c r="R7">
        <v>11</v>
      </c>
      <c r="T7" s="7" t="s">
        <v>24</v>
      </c>
      <c r="U7">
        <v>10</v>
      </c>
      <c r="W7" s="7" t="s">
        <v>41</v>
      </c>
      <c r="X7" s="17">
        <v>3.3</v>
      </c>
    </row>
    <row r="8" spans="2:24">
      <c r="B8" s="7" t="s">
        <v>111</v>
      </c>
      <c r="C8">
        <v>13</v>
      </c>
      <c r="E8" s="10" t="s">
        <v>72</v>
      </c>
      <c r="F8" s="11">
        <v>633594</v>
      </c>
      <c r="G8" s="11">
        <v>104</v>
      </c>
      <c r="H8" s="11"/>
      <c r="I8" s="7" t="s">
        <v>38</v>
      </c>
      <c r="J8">
        <v>7</v>
      </c>
      <c r="K8">
        <v>6</v>
      </c>
      <c r="L8">
        <v>13</v>
      </c>
      <c r="N8" s="7" t="s">
        <v>54</v>
      </c>
      <c r="O8">
        <v>19</v>
      </c>
      <c r="Q8" s="7" t="s">
        <v>96</v>
      </c>
      <c r="R8">
        <v>7</v>
      </c>
      <c r="T8" s="7" t="s">
        <v>102</v>
      </c>
      <c r="U8">
        <v>7</v>
      </c>
      <c r="W8" s="7" t="s">
        <v>81</v>
      </c>
      <c r="X8" s="17">
        <v>2.25</v>
      </c>
    </row>
    <row r="9" spans="2:24">
      <c r="B9" s="7" t="s">
        <v>215</v>
      </c>
      <c r="C9">
        <v>50</v>
      </c>
      <c r="E9" s="10" t="s">
        <v>50</v>
      </c>
      <c r="F9" s="11">
        <v>959266</v>
      </c>
      <c r="G9" s="11">
        <v>123</v>
      </c>
      <c r="H9" s="11"/>
      <c r="I9" s="7" t="s">
        <v>59</v>
      </c>
      <c r="J9">
        <v>5</v>
      </c>
      <c r="K9">
        <v>7</v>
      </c>
      <c r="L9">
        <v>12</v>
      </c>
      <c r="N9" s="7" t="s">
        <v>215</v>
      </c>
      <c r="O9">
        <v>50</v>
      </c>
      <c r="Q9" s="7" t="s">
        <v>56</v>
      </c>
      <c r="R9">
        <v>11</v>
      </c>
      <c r="T9" s="7" t="s">
        <v>80</v>
      </c>
      <c r="U9">
        <v>10</v>
      </c>
      <c r="W9" s="7" t="s">
        <v>51</v>
      </c>
      <c r="X9" s="17">
        <v>2.3636363636363638</v>
      </c>
    </row>
    <row r="10" spans="2:24">
      <c r="E10" s="10" t="s">
        <v>25</v>
      </c>
      <c r="F10" s="11">
        <v>731170</v>
      </c>
      <c r="G10" s="11">
        <v>122</v>
      </c>
      <c r="H10" s="11"/>
      <c r="I10" s="7" t="s">
        <v>98</v>
      </c>
      <c r="J10">
        <v>4</v>
      </c>
      <c r="K10">
        <v>3</v>
      </c>
      <c r="L10">
        <v>7</v>
      </c>
      <c r="Q10" s="7" t="s">
        <v>66</v>
      </c>
      <c r="R10">
        <v>9</v>
      </c>
      <c r="T10" s="7" t="s">
        <v>49</v>
      </c>
      <c r="U10">
        <v>9</v>
      </c>
      <c r="W10" s="7" t="s">
        <v>60</v>
      </c>
      <c r="X10" s="17">
        <v>2.5555555555555554</v>
      </c>
    </row>
    <row r="11" spans="2:24">
      <c r="E11" s="10" t="s">
        <v>215</v>
      </c>
      <c r="F11" s="4">
        <v>3104913</v>
      </c>
      <c r="G11" s="4">
        <v>487</v>
      </c>
      <c r="H11" s="4"/>
      <c r="I11" s="7" t="s">
        <v>68</v>
      </c>
      <c r="J11">
        <v>4</v>
      </c>
      <c r="K11">
        <v>5</v>
      </c>
      <c r="L11">
        <v>9</v>
      </c>
      <c r="Q11" s="7" t="s">
        <v>215</v>
      </c>
      <c r="R11">
        <v>50</v>
      </c>
      <c r="T11" s="7" t="s">
        <v>215</v>
      </c>
      <c r="U11">
        <v>50</v>
      </c>
      <c r="W11" s="7" t="s">
        <v>215</v>
      </c>
      <c r="X11">
        <v>2.62</v>
      </c>
    </row>
    <row r="12" spans="2:24">
      <c r="B12" s="7" t="s">
        <v>63</v>
      </c>
      <c r="C12">
        <f>IFERROR(GETPIVOTDATA("Full Name",$B$5,"Employment Status","Contract"),"0")</f>
        <v>17</v>
      </c>
      <c r="I12" s="7" t="s">
        <v>215</v>
      </c>
      <c r="J12">
        <v>26</v>
      </c>
      <c r="K12">
        <v>24</v>
      </c>
      <c r="L12">
        <v>50</v>
      </c>
      <c r="N12" s="7" t="s">
        <v>44</v>
      </c>
      <c r="O12">
        <f>IFERROR(GETPIVOTDATA("Full Name",$N$5,"Work Location","Branch Office"),"0")</f>
        <v>23</v>
      </c>
    </row>
    <row r="13" spans="2:24">
      <c r="B13" s="7" t="s">
        <v>29</v>
      </c>
      <c r="C13">
        <f>IFERROR(GETPIVOTDATA("Full Name",$B$5,"Employment Status","Full-Time"),"0")</f>
        <v>20</v>
      </c>
      <c r="N13" s="7" t="s">
        <v>30</v>
      </c>
      <c r="O13">
        <f>IFERROR(GETPIVOTDATA("Full Name",$N$5,"Work Location","Head Office"),"0")</f>
        <v>8</v>
      </c>
    </row>
    <row r="14" spans="2:24">
      <c r="B14" s="7" t="s">
        <v>111</v>
      </c>
      <c r="C14">
        <f>IFERROR(GETPIVOTDATA("Full Name",$B$5,"Employment Status","Part-Time"),"0")</f>
        <v>13</v>
      </c>
      <c r="E14" s="10" t="s">
        <v>121</v>
      </c>
      <c r="F14" s="12">
        <f>IFERROR(GETPIVOTDATA("Salary",$E$5,"Job Title","Analyst"),"0")</f>
        <v>167041</v>
      </c>
      <c r="G14" s="12">
        <f>IFERROR(GETPIVOTDATA("Sum of Leave Taken",$E$5,"Job Title","Analyst"),"0")</f>
        <v>28</v>
      </c>
      <c r="H14" s="12"/>
      <c r="N14" s="7" t="s">
        <v>54</v>
      </c>
      <c r="O14">
        <f>IFERROR(GETPIVOTDATA("Full Name",$N$5,"Work Location","Remote"),"0")</f>
        <v>19</v>
      </c>
      <c r="Q14" s="7" t="s">
        <v>75</v>
      </c>
      <c r="R14">
        <f>IFERROR(GETPIVOTDATA("Full Name",$Q$5,"Skills","Communication"),"0")</f>
        <v>12</v>
      </c>
      <c r="T14" s="7" t="s">
        <v>39</v>
      </c>
      <c r="U14">
        <f>IFERROR(GETPIVOTDATA("Full Name",$T$5,"Region","Central"),"0")</f>
        <v>14</v>
      </c>
      <c r="W14" s="7" t="s">
        <v>26</v>
      </c>
      <c r="X14" s="17">
        <f>IFERROR(GETPIVOTDATA("Performance Rating",$W$5,"Department","Finance"),"0")</f>
        <v>2.5833333333333335</v>
      </c>
    </row>
    <row r="15" spans="2:24">
      <c r="B15" s="7" t="s">
        <v>218</v>
      </c>
      <c r="C15">
        <f>SUM(C12:C14)</f>
        <v>50</v>
      </c>
      <c r="E15" s="10" t="s">
        <v>40</v>
      </c>
      <c r="F15" s="12">
        <f>IFERROR(GETPIVOTDATA("Salary",$E$5,"Job Title","Designer"),"0")</f>
        <v>613842</v>
      </c>
      <c r="G15" s="12">
        <f>IFERROR(GETPIVOTDATA("Sum of Leave Taken",$E$5,"Job Title","Designer"),"0")</f>
        <v>110</v>
      </c>
      <c r="H15" s="12"/>
      <c r="I15" s="7" t="s">
        <v>23</v>
      </c>
      <c r="J15">
        <f>IFERROR(GETPIVOTDATA("Full Name",$I$5,"Age range","18-25"),"0")</f>
        <v>9</v>
      </c>
      <c r="N15" s="7" t="s">
        <v>218</v>
      </c>
      <c r="O15">
        <f>SUM(O12:O14)</f>
        <v>50</v>
      </c>
      <c r="Q15" s="7" t="s">
        <v>34</v>
      </c>
      <c r="R15">
        <f>IFERROR(GETPIVOTDATA("Full Name",$Q$5,"Skills","Design"),"0")</f>
        <v>11</v>
      </c>
      <c r="T15" s="7" t="s">
        <v>24</v>
      </c>
      <c r="U15">
        <f>IFERROR(GETPIVOTDATA("Full Name",$T$5,"Region","East"),"0")</f>
        <v>10</v>
      </c>
      <c r="W15" s="7" t="s">
        <v>41</v>
      </c>
      <c r="X15" s="17">
        <f>IFERROR(GETPIVOTDATA("Performance Rating",$W$5,"Department","HR"),"0")</f>
        <v>3.3</v>
      </c>
    </row>
    <row r="16" spans="2:24">
      <c r="E16" s="10" t="s">
        <v>72</v>
      </c>
      <c r="F16" s="12">
        <f>IFERROR(GETPIVOTDATA("Salary",$E$5,"Job Title","Developer"),"0")</f>
        <v>633594</v>
      </c>
      <c r="G16" s="12">
        <f>IFERROR(GETPIVOTDATA("Sum of Leave Taken",$E$5,"Job Title","Developer"),"0")</f>
        <v>104</v>
      </c>
      <c r="H16" s="12"/>
      <c r="I16" s="7" t="s">
        <v>38</v>
      </c>
      <c r="J16">
        <f>IFERROR(GETPIVOTDATA("Full Name",$I$5,"Age range","26-35"),"0")</f>
        <v>13</v>
      </c>
      <c r="Q16" s="7" t="s">
        <v>96</v>
      </c>
      <c r="R16">
        <f>IFERROR(GETPIVOTDATA("Full Name",$Q$5,"Skills","Excel"),"0")</f>
        <v>7</v>
      </c>
      <c r="T16" s="7" t="s">
        <v>102</v>
      </c>
      <c r="U16">
        <f>IFERROR(GETPIVOTDATA("Full Name",$T$5,"Region","North"),"0")</f>
        <v>7</v>
      </c>
      <c r="W16" s="7" t="s">
        <v>81</v>
      </c>
      <c r="X16" s="17">
        <f>IFERROR(GETPIVOTDATA("Performance Rating",$W$5,"Department","IT"),"0")</f>
        <v>2.25</v>
      </c>
    </row>
    <row r="17" spans="5:24">
      <c r="E17" s="10" t="s">
        <v>50</v>
      </c>
      <c r="F17" s="12">
        <f>IFERROR(GETPIVOTDATA("Salary",$E$5,"Job Title","HR Specialist"),"0")</f>
        <v>959266</v>
      </c>
      <c r="G17" s="12">
        <f>IFERROR(GETPIVOTDATA("Sum of Leave Taken",$E$5,"Job Title","HR Specialist"),"0")</f>
        <v>123</v>
      </c>
      <c r="H17" s="12"/>
      <c r="I17" s="7" t="s">
        <v>59</v>
      </c>
      <c r="J17">
        <f>IFERROR(GETPIVOTDATA("Full Name",$I$5,"Age range","36-45"),"0")</f>
        <v>12</v>
      </c>
      <c r="N17" s="13">
        <f>SUM(O12)/SUM($O$12:$O$14)</f>
        <v>0.46</v>
      </c>
      <c r="O17" s="14">
        <f>1-N17</f>
        <v>0.54</v>
      </c>
      <c r="Q17" s="7" t="s">
        <v>56</v>
      </c>
      <c r="R17">
        <f>IFERROR(GETPIVOTDATA("Full Name",$Q$5,"Skills","Management"),"0")</f>
        <v>11</v>
      </c>
      <c r="T17" s="7" t="s">
        <v>80</v>
      </c>
      <c r="U17">
        <f>IFERROR(GETPIVOTDATA("Full Name",$T$5,"Region","South"),"0")</f>
        <v>10</v>
      </c>
      <c r="W17" s="7" t="s">
        <v>51</v>
      </c>
      <c r="X17" s="17">
        <f>IFERROR(GETPIVOTDATA("Performance Rating",$W$5,"Department","Marketing"),"0")</f>
        <v>2.3636363636363638</v>
      </c>
    </row>
    <row r="18" spans="5:24">
      <c r="E18" s="10" t="s">
        <v>25</v>
      </c>
      <c r="F18" s="12">
        <f>IFERROR(GETPIVOTDATA("Salary",$E$5,"Job Title","Manager"),"0")</f>
        <v>731170</v>
      </c>
      <c r="G18" s="12">
        <f>IFERROR(GETPIVOTDATA("Sum of Leave Taken",$E$5,"Job Title","Manager"),"0")</f>
        <v>122</v>
      </c>
      <c r="H18" s="12"/>
      <c r="I18" s="7" t="s">
        <v>98</v>
      </c>
      <c r="J18">
        <f>IFERROR(GETPIVOTDATA("Full Name",$I$5,"Age range","46-55"),"0")</f>
        <v>7</v>
      </c>
      <c r="N18" s="13">
        <f>SUM(O13)/SUM($O$12:$O$14)</f>
        <v>0.16</v>
      </c>
      <c r="O18" s="14">
        <f t="shared" ref="O18:O19" si="0">1-N18</f>
        <v>0.84</v>
      </c>
      <c r="Q18" s="7" t="s">
        <v>66</v>
      </c>
      <c r="R18">
        <f>IFERROR(GETPIVOTDATA("Full Name",$Q$5,"Skills","Python"),"0")</f>
        <v>9</v>
      </c>
      <c r="T18" s="7" t="s">
        <v>49</v>
      </c>
      <c r="U18">
        <f>IFERROR(GETPIVOTDATA("Full Name",$T$5,"Region","West"),"0")</f>
        <v>9</v>
      </c>
      <c r="W18" s="7" t="s">
        <v>60</v>
      </c>
      <c r="X18" s="17">
        <f>IFERROR(GETPIVOTDATA("Performance Rating",$W$5,"Department","Operations"),"0")</f>
        <v>2.5555555555555554</v>
      </c>
    </row>
    <row r="19" spans="5:24">
      <c r="E19" s="10" t="s">
        <v>218</v>
      </c>
      <c r="F19" s="12">
        <f>SUM(F14:F18)</f>
        <v>3104913</v>
      </c>
      <c r="G19" s="16">
        <f>SUM(G14:G18)</f>
        <v>487</v>
      </c>
      <c r="H19" s="16"/>
      <c r="I19" s="7" t="s">
        <v>68</v>
      </c>
      <c r="J19">
        <f>IFERROR(GETPIVOTDATA("Full Name",$I$5,"Age range","56 &lt;"),"0")</f>
        <v>9</v>
      </c>
      <c r="N19" s="13">
        <f>SUM(O14)/SUM($O$12:$O$14)</f>
        <v>0.38</v>
      </c>
      <c r="O19" s="14">
        <f t="shared" si="0"/>
        <v>0.62</v>
      </c>
      <c r="Q19" s="7" t="s">
        <v>218</v>
      </c>
      <c r="R19">
        <f>SUM(R14:R18)</f>
        <v>50</v>
      </c>
      <c r="T19" s="7" t="s">
        <v>218</v>
      </c>
      <c r="U19">
        <f>SUM(U14:U18)</f>
        <v>50</v>
      </c>
      <c r="W19" s="7" t="s">
        <v>218</v>
      </c>
      <c r="X19" s="18">
        <f>AVERAGE(X14:X18)</f>
        <v>2.6105050505050502</v>
      </c>
    </row>
    <row r="20" spans="5:24">
      <c r="I20" s="7" t="s">
        <v>218</v>
      </c>
      <c r="J20">
        <f>SUM(J15:J19)</f>
        <v>50</v>
      </c>
    </row>
    <row r="23" spans="5:24">
      <c r="I23" s="7" t="s">
        <v>37</v>
      </c>
      <c r="J23">
        <f>IFERROR(GETPIVOTDATA("Full Name",$I$5,"Gender","Male"),"0")</f>
        <v>24</v>
      </c>
      <c r="K23" s="13">
        <f t="shared" ref="K23:K24" si="1">SUM(J23)/SUM($J$23:$J$24)</f>
        <v>0.48</v>
      </c>
      <c r="L23" s="15">
        <f>1-K23</f>
        <v>0.52</v>
      </c>
    </row>
    <row r="24" spans="5:24">
      <c r="I24" s="7" t="s">
        <v>22</v>
      </c>
      <c r="J24">
        <f>IFERROR(GETPIVOTDATA("Full Name",$I$5,"Gender","Female"),"0")</f>
        <v>26</v>
      </c>
      <c r="K24" s="13">
        <f t="shared" si="1"/>
        <v>0.52</v>
      </c>
      <c r="L24" s="15">
        <f>1-K24</f>
        <v>0.48</v>
      </c>
    </row>
    <row r="25" spans="5:24">
      <c r="I25" s="7" t="s">
        <v>218</v>
      </c>
      <c r="J25">
        <f>SUM(J23:J24)</f>
        <v>50</v>
      </c>
      <c r="L25" t="s">
        <v>224</v>
      </c>
    </row>
  </sheetData>
  <mergeCells count="7">
    <mergeCell ref="T3:U3"/>
    <mergeCell ref="W3:X3"/>
    <mergeCell ref="B3:C3"/>
    <mergeCell ref="E3:F3"/>
    <mergeCell ref="I3:L3"/>
    <mergeCell ref="N3:O3"/>
    <mergeCell ref="Q3:R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2C4A2-116C-4FB7-ABFD-ADD4D380E988}">
  <dimension ref="A1"/>
  <sheetViews>
    <sheetView showGridLines="0" tabSelected="1" zoomScaleNormal="100" workbookViewId="0">
      <selection activeCell="U13" sqref="U13"/>
    </sheetView>
  </sheetViews>
  <sheetFormatPr defaultRowHeight="13.8"/>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zoomScale="89" zoomScaleNormal="89" workbookViewId="0">
      <selection activeCell="C11" sqref="C11"/>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Shantanu Shete</cp:lastModifiedBy>
  <dcterms:created xsi:type="dcterms:W3CDTF">2024-12-11T17:14:33Z</dcterms:created>
  <dcterms:modified xsi:type="dcterms:W3CDTF">2025-11-11T13:11:44Z</dcterms:modified>
</cp:coreProperties>
</file>